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d8b67dbe05400/ドキュメント/ケアサービス　たんでん/各種資料　原本/請求書/アプリ用テンプレ/"/>
    </mc:Choice>
  </mc:AlternateContent>
  <xr:revisionPtr revIDLastSave="101" documentId="8_{3DB82A3E-4CBD-47EB-9DB0-79D45A52FD1E}" xr6:coauthVersionLast="47" xr6:coauthVersionMax="47" xr10:uidLastSave="{6386A7F2-5966-4B84-A32C-6E885A3FC7AA}"/>
  <workbookProtection lockStructure="1"/>
  <bookViews>
    <workbookView xWindow="28680" yWindow="-120" windowWidth="29040" windowHeight="15720" xr2:uid="{5209DA7A-5152-4F99-B3B1-55AC7DC7D125}"/>
  </bookViews>
  <sheets>
    <sheet name="Sheet1" sheetId="1" r:id="rId1"/>
  </sheets>
  <definedNames>
    <definedName name="_xlnm.Print_Area" localSheetId="0">Sheet1!$A$1:$O$40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N5" i="1"/>
  <c r="E40" i="1"/>
  <c r="C40" i="1"/>
  <c r="O28" i="1" l="1"/>
  <c r="O25" i="1"/>
  <c r="O29" i="1" s="1"/>
  <c r="A11" i="1" s="1"/>
  <c r="O27" i="1" l="1"/>
  <c r="A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7" authorId="0" shapeId="0" xr:uid="{AF570E68-652C-4001-B2A4-4BC223893557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</text>
    </comment>
    <comment ref="O28" authorId="0" shapeId="0" xr:uid="{FD78ECD5-AA28-475C-8D3E-68AB12AA1E0A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<sst xmlns="http://schemas.openxmlformats.org/spreadsheetml/2006/main" count="38" uniqueCount="38">
  <si>
    <r>
      <t>請求書</t>
    </r>
    <r>
      <rPr>
        <sz val="10"/>
        <color indexed="8"/>
        <rFont val="ＭＳ 明朝"/>
        <family val="1"/>
        <charset val="128"/>
      </rPr>
      <t>(ご利用明細書)</t>
    </r>
    <rPh sb="0" eb="3">
      <t>セイキュウショ</t>
    </rPh>
    <rPh sb="5" eb="7">
      <t>リヨウ</t>
    </rPh>
    <rPh sb="7" eb="9">
      <t>メイサイ</t>
    </rPh>
    <rPh sb="9" eb="10">
      <t>ショ</t>
    </rPh>
    <phoneticPr fontId="5"/>
  </si>
  <si>
    <t>月ご利用分）</t>
    <rPh sb="0" eb="1">
      <t>ガツ</t>
    </rPh>
    <rPh sb="2" eb="4">
      <t>リヨウ</t>
    </rPh>
    <rPh sb="4" eb="5">
      <t>ブン</t>
    </rPh>
    <phoneticPr fontId="5"/>
  </si>
  <si>
    <t>今回ご請求金額</t>
    <rPh sb="0" eb="2">
      <t>コンカイ</t>
    </rPh>
    <rPh sb="3" eb="5">
      <t>セイキュウ</t>
    </rPh>
    <rPh sb="5" eb="7">
      <t>キンガク</t>
    </rPh>
    <phoneticPr fontId="5"/>
  </si>
  <si>
    <t>利用者氏名</t>
    <rPh sb="0" eb="3">
      <t>リヨウシャ</t>
    </rPh>
    <rPh sb="3" eb="5">
      <t>シメイ</t>
    </rPh>
    <phoneticPr fontId="5"/>
  </si>
  <si>
    <t>発行日</t>
    <rPh sb="0" eb="3">
      <t>ハッコウビ</t>
    </rPh>
    <phoneticPr fontId="5"/>
  </si>
  <si>
    <t>サービス明細</t>
    <rPh sb="4" eb="6">
      <t>メイサイ</t>
    </rPh>
    <phoneticPr fontId="5"/>
  </si>
  <si>
    <t>令和</t>
    <rPh sb="0" eb="1">
      <t>レイ</t>
    </rPh>
    <rPh sb="1" eb="2">
      <t>ワ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</si>
  <si>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</si>
  <si>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</si>
  <si>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ご利用分</t>
    <rPh sb="1" eb="3">
      <t>リヨウ</t>
    </rPh>
    <rPh sb="3" eb="4">
      <t>ブン</t>
    </rPh>
    <phoneticPr fontId="5"/>
  </si>
  <si>
    <t>日付</t>
    <rPh sb="0" eb="2">
      <t>ヒヅケ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</si>
  <si>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</si>
  <si>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</si>
  <si>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サービス内容</t>
    <rPh sb="4" eb="6">
      <t>ナイヨウ</t>
    </rPh>
    <phoneticPr fontId="5"/>
  </si>
  <si>
    <t>時間</t>
    <rPh sb="0" eb="2">
      <t>ジカン</t>
    </rPh>
    <phoneticPr fontId="5"/>
  </si>
  <si>
    <t>距離</t>
    <rPh sb="0" eb="2">
      <t>キョリ</t>
    </rPh>
    <phoneticPr fontId="5"/>
  </si>
  <si>
    <t>早朝・夜間</t>
    <rPh sb="0" eb="2">
      <t>ソウチョウ</t>
    </rPh>
    <rPh sb="3" eb="5">
      <t>ヤカン</t>
    </rPh>
    <phoneticPr fontId="5"/>
  </si>
  <si>
    <t>金額</t>
    <rPh sb="0" eb="2">
      <t>キンガク</t>
    </rPh>
    <phoneticPr fontId="5"/>
  </si>
  <si>
    <t>利用料</t>
    <rPh sb="0" eb="3">
      <t>リヨウリョウ</t>
    </rPh>
    <phoneticPr fontId="5"/>
  </si>
  <si>
    <t>立替金</t>
    <rPh sb="0" eb="3">
      <t>タテカエキン</t>
    </rPh>
    <phoneticPr fontId="5"/>
  </si>
  <si>
    <t>合計</t>
  </si>
  <si>
    <t>領収済証</t>
    <rPh sb="0" eb="2">
      <t>リョウシュウ</t>
    </rPh>
    <rPh sb="2" eb="3">
      <t>スミ</t>
    </rPh>
    <rPh sb="3" eb="4">
      <t>アカシ</t>
    </rPh>
    <phoneticPr fontId="5"/>
  </si>
  <si>
    <t>前月分</t>
  </si>
  <si>
    <t>を</t>
    <phoneticPr fontId="5"/>
  </si>
  <si>
    <t>にて領収しました。</t>
    <rPh sb="2" eb="4">
      <t>リョウシュウ</t>
    </rPh>
    <phoneticPr fontId="5"/>
  </si>
  <si>
    <t>領収金額</t>
    <rPh sb="0" eb="2">
      <t>リョウシュウ</t>
    </rPh>
    <rPh sb="2" eb="4">
      <t>キンガク</t>
    </rPh>
    <phoneticPr fontId="5"/>
  </si>
  <si>
    <t>但:</t>
    <rPh sb="0" eb="1">
      <t>タダ</t>
    </rPh>
    <phoneticPr fontId="5"/>
  </si>
  <si>
    <t>有料道路　470円</t>
    <rPh sb="0" eb="4">
      <t>ユウリョウドウロ</t>
    </rPh>
    <rPh sb="8" eb="9">
      <t>エン</t>
    </rPh>
    <phoneticPr fontId="4"/>
  </si>
  <si>
    <t>誠に有り難うございます。</t>
  </si>
  <si>
    <t>いつも弊社の暮らし応援サービスをご利用いただき</t>
  </si>
  <si>
    <t>（</t>
    <phoneticPr fontId="4"/>
  </si>
  <si>
    <t>前月ご利用いただきましたサービス明細書を送付
いたしましたのでご確認ください。
ご不明な点は下記事業所までお問い合わせください。</t>
    <phoneticPr fontId="4"/>
  </si>
  <si>
    <t>令和</t>
    <rPh sb="0" eb="2">
      <t>レイワ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</si>
  <si>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</si>
  <si>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</si>
  <si>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ご利用分</t>
    <rPh sb="1" eb="4">
      <t>リヨウブン</t>
    </rPh>
    <phoneticPr fontId="4"/>
  </si>
  <si>
    <t>山口県下関市王喜本町
5丁目2番32-2号
ケアサービスたんでん
運営法人㈱介護福祉サービス舟島
TEL　070-3968-0697</t>
    <phoneticPr fontId="4"/>
  </si>
  <si>
    <t>集金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</si>
</sst>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_);\(&quot;¥&quot;#,##0\)"/>
    <numFmt numFmtId="177" formatCode="yyyy/m/d;@"/>
    <numFmt numFmtId="178" formatCode="[$-411]ggge&quot;年&quot;m&quot;月&quot;&quot;分&quot;"/>
    <numFmt numFmtId="179" formatCode="h:mm;@"/>
    <numFmt numFmtId="180" formatCode="m/d;@"/>
    <numFmt numFmtId="181" formatCode="#,##0_ ;[Red]\-#,##0\ "/>
    <numFmt numFmtId="182" formatCode="&quot;$&quot;#,##0.00_);\(&quot;$&quot;#,##0.00\)"/>
  </numFmts>
  <fonts count="33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4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8"/>
      <color indexed="8"/>
      <name val="ＭＳ 明朝"/>
      <family val="1"/>
      <charset val="128"/>
    </font>
    <font>
      <sz val="16"/>
      <color indexed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20"/>
      <color indexed="8"/>
      <name val="ＭＳ Ｐ明朝"/>
      <family val="1"/>
      <charset val="128"/>
    </font>
    <font>
      <sz val="12"/>
      <name val="ＭＳ Ｐ明朝"/>
      <family val="1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182" fontId="32" fillId="0" borderId="0" applyProtection="0">
      <alignment horizontal="right" vertical="center" indent="1"/>
    </xf>
    <xf numFmtId="0" fontId="32" fillId="0" borderId="0" applyProtection="0">
      <alignment horizontal="right" vertical="center" indent="1"/>
    </xf>
  </cellStyleXfs>
  <cellXfs count="122">
    <xf numFmtId="0" fontId="0" fillId="0" borderId="0" xfId="0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1" applyFont="1" applyAlignment="1" applyProtection="1">
      <alignment horizontal="center" vertical="center"/>
      <protection locked="0"/>
    </xf>
    <xf numFmtId="0" fontId="8" fillId="0" borderId="0" xfId="0" applyFont="1" applyProtection="1">
      <alignment vertical="center"/>
      <protection locked="0"/>
    </xf>
    <xf numFmtId="176" fontId="14" fillId="0" borderId="0" xfId="1" applyNumberFormat="1" applyFont="1" applyProtection="1">
      <alignment vertical="center"/>
      <protection locked="0"/>
    </xf>
    <xf numFmtId="176" fontId="3" fillId="0" borderId="0" xfId="1" applyNumberFormat="1" applyFont="1" applyProtection="1">
      <alignment vertical="center"/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23" fillId="0" borderId="0" xfId="1" applyFont="1" applyAlignment="1" applyProtection="1">
      <alignment vertical="center" wrapText="1"/>
      <protection locked="0"/>
    </xf>
    <xf numFmtId="176" fontId="24" fillId="0" borderId="0" xfId="1" applyNumberFormat="1" applyFont="1" applyProtection="1">
      <alignment vertical="center"/>
      <protection locked="0"/>
    </xf>
    <xf numFmtId="176" fontId="11" fillId="0" borderId="0" xfId="1" applyNumberFormat="1" applyFont="1" applyProtection="1">
      <alignment vertical="center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180" fontId="3" fillId="0" borderId="2" xfId="1" applyNumberFormat="1" applyFont="1" applyBorder="1" applyAlignment="1" applyProtection="1">
      <alignment horizontal="center" vertical="center"/>
      <protection locked="0"/>
    </xf>
    <xf numFmtId="179" fontId="13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177" fontId="11" fillId="0" borderId="2" xfId="1" applyNumberFormat="1" applyFont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Continuous" vertical="center" wrapText="1"/>
      <protection locked="0"/>
    </xf>
    <xf numFmtId="0" fontId="8" fillId="0" borderId="0" xfId="0" applyFont="1" applyAlignment="1">
      <alignment horizontal="center" vertical="center"/>
    </xf>
    <xf numFmtId="181" fontId="10" fillId="0" borderId="7" xfId="0" applyNumberFormat="1" applyFont="1" applyBorder="1" applyProtection="1">
      <alignment vertical="center"/>
      <protection locked="0"/>
    </xf>
    <xf numFmtId="180" fontId="3" fillId="0" borderId="2" xfId="1" applyNumberFormat="1" applyFont="1" applyBorder="1" applyProtection="1">
      <alignment vertical="center"/>
      <protection locked="0"/>
    </xf>
    <xf numFmtId="179" fontId="19" fillId="0" borderId="2" xfId="0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Protection="1">
      <alignment vertical="center"/>
      <protection locked="0"/>
    </xf>
    <xf numFmtId="0" fontId="18" fillId="0" borderId="2" xfId="1" applyFont="1" applyBorder="1" applyAlignment="1" applyProtection="1">
      <alignment horizontal="centerContinuous" vertical="center" shrinkToFit="1"/>
      <protection locked="0"/>
    </xf>
    <xf numFmtId="0" fontId="21" fillId="0" borderId="0" xfId="1" applyFont="1" applyAlignment="1" applyProtection="1">
      <alignment horizontal="centerContinuous" vertical="center"/>
      <protection locked="0"/>
    </xf>
    <xf numFmtId="0" fontId="9" fillId="0" borderId="0" xfId="0" applyFont="1" applyAlignment="1">
      <alignment horizontal="centerContinuous" vertical="center" wrapText="1" readingOrder="1"/>
    </xf>
    <xf numFmtId="176" fontId="11" fillId="0" borderId="0" xfId="1" applyNumberFormat="1" applyFont="1" applyAlignment="1" applyProtection="1">
      <alignment vertical="center" wrapText="1"/>
      <protection locked="0"/>
    </xf>
    <xf numFmtId="181" fontId="3" fillId="0" borderId="2" xfId="3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Continuous" vertical="center"/>
      <protection locked="0"/>
    </xf>
    <xf numFmtId="0" fontId="2" fillId="2" borderId="0" xfId="1" applyFont="1" applyFill="1" applyAlignment="1">
      <alignment horizontal="centerContinuous" vertical="center"/>
    </xf>
    <xf numFmtId="0" fontId="6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Continuous" vertical="distributed" wrapText="1" readingOrder="1"/>
    </xf>
    <xf numFmtId="0" fontId="2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31" fillId="0" borderId="0" xfId="0" applyFont="1" applyAlignment="1">
      <alignment horizontal="centerContinuous" vertical="center" wrapText="1"/>
    </xf>
    <xf numFmtId="0" fontId="28" fillId="0" borderId="0" xfId="0" applyFont="1" applyAlignment="1">
      <alignment horizontal="centerContinuous" vertical="distributed" wrapText="1" readingOrder="1"/>
    </xf>
    <xf numFmtId="0" fontId="29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" vertical="center"/>
    </xf>
    <xf numFmtId="0" fontId="28" fillId="0" borderId="0" xfId="0" applyFont="1" applyAlignment="1">
      <alignment horizontal="centerContinuous" vertical="center" wrapText="1" readingOrder="1"/>
    </xf>
    <xf numFmtId="0" fontId="30" fillId="0" borderId="0" xfId="1" applyFont="1" applyAlignment="1">
      <alignment horizontal="centerContinuous" vertical="center"/>
    </xf>
    <xf numFmtId="0" fontId="31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Continuous" vertical="center" wrapText="1" readingOrder="1"/>
    </xf>
    <xf numFmtId="0" fontId="11" fillId="0" borderId="0" xfId="1" applyFont="1" applyAlignment="1">
      <alignment horizontal="centerContinuous" vertical="center"/>
    </xf>
    <xf numFmtId="0" fontId="11" fillId="0" borderId="0" xfId="1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176" fontId="2" fillId="0" borderId="2" xfId="1" applyNumberFormat="1" applyFont="1" applyBorder="1" applyAlignment="1">
      <alignment horizontal="centerContinuous" vertical="center"/>
    </xf>
    <xf numFmtId="176" fontId="2" fillId="0" borderId="3" xfId="1" applyNumberFormat="1" applyFont="1" applyBorder="1" applyAlignment="1">
      <alignment horizontal="centerContinuous" vertical="center"/>
    </xf>
    <xf numFmtId="176" fontId="2" fillId="0" borderId="4" xfId="1" applyNumberFormat="1" applyFont="1" applyBorder="1" applyAlignment="1">
      <alignment horizontal="centerContinuous" vertical="center"/>
    </xf>
    <xf numFmtId="0" fontId="11" fillId="0" borderId="3" xfId="1" applyFont="1" applyBorder="1" applyAlignment="1">
      <alignment horizontal="centerContinuous" vertical="center" shrinkToFit="1"/>
    </xf>
    <xf numFmtId="177" fontId="11" fillId="0" borderId="4" xfId="1" applyNumberFormat="1" applyFont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4" fillId="2" borderId="2" xfId="2" applyFont="1" applyFill="1" applyBorder="1">
      <alignment vertical="center"/>
    </xf>
    <xf numFmtId="0" fontId="14" fillId="2" borderId="4" xfId="2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0" xfId="1" applyFont="1" applyAlignment="1">
      <alignment horizontal="left" vertical="center"/>
    </xf>
    <xf numFmtId="178" fontId="11" fillId="0" borderId="0" xfId="1" applyNumberFormat="1" applyFont="1">
      <alignment vertical="center"/>
    </xf>
    <xf numFmtId="0" fontId="11" fillId="0" borderId="0" xfId="1" applyFont="1" applyAlignment="1">
      <alignment horizontal="right" vertical="center"/>
    </xf>
    <xf numFmtId="179" fontId="3" fillId="2" borderId="2" xfId="1" applyNumberFormat="1" applyFont="1" applyFill="1" applyBorder="1" applyAlignment="1">
      <alignment horizontal="centerContinuous" vertical="center"/>
    </xf>
    <xf numFmtId="0" fontId="18" fillId="2" borderId="2" xfId="1" applyFont="1" applyFill="1" applyBorder="1" applyAlignment="1">
      <alignment horizontal="centerContinuous" vertical="center" wrapText="1"/>
    </xf>
    <xf numFmtId="0" fontId="3" fillId="2" borderId="7" xfId="1" applyFont="1" applyFill="1" applyBorder="1" applyAlignment="1">
      <alignment horizontal="centerContinuous" vertical="center"/>
    </xf>
    <xf numFmtId="0" fontId="18" fillId="0" borderId="3" xfId="1" applyFont="1" applyBorder="1" applyAlignment="1">
      <alignment horizontal="centerContinuous" vertical="center" shrinkToFit="1"/>
    </xf>
    <xf numFmtId="0" fontId="18" fillId="0" borderId="4" xfId="1" applyFont="1" applyBorder="1" applyAlignment="1">
      <alignment horizontal="centerContinuous" vertical="center" shrinkToFit="1"/>
    </xf>
    <xf numFmtId="181" fontId="10" fillId="0" borderId="7" xfId="0" applyNumberFormat="1" applyFont="1" applyBorder="1">
      <alignment vertical="center"/>
    </xf>
    <xf numFmtId="180" fontId="3" fillId="0" borderId="5" xfId="1" applyNumberFormat="1" applyFont="1" applyBorder="1">
      <alignment vertical="center"/>
    </xf>
    <xf numFmtId="179" fontId="3" fillId="0" borderId="5" xfId="1" applyNumberFormat="1" applyFont="1" applyBorder="1">
      <alignment vertical="center"/>
    </xf>
    <xf numFmtId="56" fontId="18" fillId="0" borderId="5" xfId="1" applyNumberFormat="1" applyFont="1" applyBorder="1" applyAlignment="1">
      <alignment vertical="center" shrinkToFit="1"/>
    </xf>
    <xf numFmtId="56" fontId="18" fillId="0" borderId="6" xfId="1" applyNumberFormat="1" applyFont="1" applyBorder="1" applyAlignment="1">
      <alignment vertical="center" shrinkToFit="1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0" fontId="12" fillId="0" borderId="8" xfId="0" applyFont="1" applyBorder="1">
      <alignment vertical="center"/>
    </xf>
    <xf numFmtId="0" fontId="20" fillId="2" borderId="2" xfId="0" applyFont="1" applyFill="1" applyBorder="1" applyAlignment="1">
      <alignment horizontal="centerContinuous" vertical="center"/>
    </xf>
    <xf numFmtId="0" fontId="20" fillId="2" borderId="3" xfId="0" applyFont="1" applyFill="1" applyBorder="1" applyAlignment="1">
      <alignment horizontal="centerContinuous" vertical="center"/>
    </xf>
    <xf numFmtId="0" fontId="14" fillId="2" borderId="2" xfId="2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horizontal="centerContinuous" vertical="center"/>
    </xf>
    <xf numFmtId="181" fontId="11" fillId="0" borderId="7" xfId="3" applyNumberFormat="1" applyFont="1" applyBorder="1" applyAlignment="1" applyProtection="1">
      <alignment vertical="center"/>
    </xf>
    <xf numFmtId="0" fontId="15" fillId="0" borderId="9" xfId="2" applyFont="1" applyBorder="1">
      <alignment vertical="center"/>
    </xf>
    <xf numFmtId="0" fontId="14" fillId="0" borderId="9" xfId="2" applyFont="1" applyBorder="1">
      <alignment vertical="center"/>
    </xf>
    <xf numFmtId="0" fontId="14" fillId="0" borderId="10" xfId="2" applyFont="1" applyBorder="1">
      <alignment vertical="center"/>
    </xf>
    <xf numFmtId="0" fontId="15" fillId="0" borderId="0" xfId="2" applyFont="1">
      <alignment vertical="center"/>
    </xf>
    <xf numFmtId="0" fontId="14" fillId="0" borderId="0" xfId="2" applyFont="1">
      <alignment vertical="center"/>
    </xf>
    <xf numFmtId="0" fontId="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14" fillId="0" borderId="0" xfId="1" applyFont="1" applyAlignment="1">
      <alignment horizontal="left" vertical="center"/>
    </xf>
    <xf numFmtId="0" fontId="3" fillId="0" borderId="0" xfId="1" applyFont="1" applyAlignment="1">
      <alignment vertical="top" wrapText="1"/>
    </xf>
    <xf numFmtId="0" fontId="22" fillId="0" borderId="1" xfId="1" applyFont="1" applyBorder="1" applyAlignment="1">
      <alignment horizontal="center" vertical="center"/>
    </xf>
    <xf numFmtId="176" fontId="14" fillId="0" borderId="0" xfId="1" applyNumberFormat="1" applyFont="1">
      <alignment vertical="center"/>
    </xf>
    <xf numFmtId="0" fontId="11" fillId="0" borderId="0" xfId="1" applyFont="1" applyAlignment="1">
      <alignment vertical="top" wrapText="1"/>
    </xf>
    <xf numFmtId="176" fontId="24" fillId="0" borderId="0" xfId="1" applyNumberFormat="1" applyFont="1">
      <alignment vertical="center"/>
    </xf>
    <xf numFmtId="176" fontId="2" fillId="0" borderId="5" xfId="1" applyNumberFormat="1" applyFont="1" applyBorder="1" applyAlignment="1">
      <alignment horizontal="centerContinuous" vertical="center"/>
    </xf>
    <xf numFmtId="0" fontId="10" fillId="0" borderId="1" xfId="0" applyFont="1" applyBorder="1">
      <alignment vertical="center"/>
    </xf>
    <xf numFmtId="0" fontId="20" fillId="0" borderId="1" xfId="0" applyFont="1" applyBorder="1" applyAlignment="1">
      <alignment horizontal="right" vertical="center"/>
    </xf>
    <xf numFmtId="0" fontId="14" fillId="0" borderId="1" xfId="1" applyFont="1" applyBorder="1" applyAlignment="1">
      <alignment horizontal="right" vertical="center"/>
    </xf>
    <xf numFmtId="0" fontId="14" fillId="0" borderId="1" xfId="1" applyFont="1" applyBorder="1">
      <alignment vertical="center"/>
    </xf>
    <xf numFmtId="178" fontId="14" fillId="0" borderId="1" xfId="1" applyNumberFormat="1" applyFont="1" applyBorder="1">
      <alignment vertical="center"/>
    </xf>
    <xf numFmtId="0" fontId="11" fillId="0" borderId="1" xfId="1" applyFont="1" applyBorder="1" applyAlignment="1">
      <alignment horizontal="centerContinuous" vertical="center" wrapText="1"/>
    </xf>
    <xf numFmtId="0" fontId="3" fillId="0" borderId="1" xfId="1" applyFont="1" applyBorder="1" applyAlignment="1">
      <alignment horizontal="centerContinuous" vertical="center" wrapText="1"/>
    </xf>
    <xf numFmtId="0" fontId="11" fillId="0" borderId="2" xfId="1" applyFont="1" applyBorder="1" applyAlignment="1" applyProtection="1">
      <alignment horizontal="centerContinuous" vertical="center" shrinkToFit="1"/>
      <protection locked="0"/>
    </xf>
    <xf numFmtId="178" fontId="11" fillId="0" borderId="1" xfId="1" applyNumberFormat="1" applyFont="1" applyBorder="1" applyAlignment="1">
      <alignment horizontal="center" vertical="center"/>
    </xf>
    <xf numFmtId="176" fontId="11" fillId="0" borderId="0" xfId="1" applyNumberFormat="1" applyFont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5" fillId="0" borderId="1" xfId="1" applyFont="1" applyBorder="1" applyAlignment="1">
      <alignment horizontal="right" vertical="center"/>
    </xf>
  </cellXfs>
  <cellStyles count="6">
    <cellStyle name="桁区切り 2" xfId="3" xr:uid="{A8E0ED73-4157-4BA7-A404-B401983E4E51}"/>
    <cellStyle name="通貨の表" xfId="4" xr:uid="{5DC7DB91-2AC7-40D6-B927-92E3AF44BEAB}"/>
    <cellStyle name="標準" xfId="0" builtinId="0"/>
    <cellStyle name="標準 2" xfId="2" xr:uid="{44ED1D23-806E-40C2-9814-B8A16991EA9E}"/>
    <cellStyle name="標準 9" xfId="1" xr:uid="{CBF6CAA7-4E5D-41DF-B58C-1C02695E7ACA}"/>
    <cellStyle name="表の詳細 (右揃え)" xfId="5" xr:uid="{8F5B24CB-63DD-4893-BA63-312EEACBE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314326</xdr:colOff>
      <xdr:row>35</xdr:row>
      <xdr:rowOff>152400</xdr:rowOff>
    </xdr:from>
    <xdr:to>
      <xdr:col>14</xdr:col>
      <xdr:colOff>807066</xdr:colOff>
      <xdr:row>39</xdr:row>
      <xdr:rowOff>304800</xdr:rowOff>
    </xdr:to>
    <xdr:pic>
      <xdr:nvPicPr>
        <xdr:cNvPr id="7" name="図 2">
          <a:extLst>
            <a:ext uri="{FF2B5EF4-FFF2-40B4-BE49-F238E27FC236}">
              <a16:creationId xmlns:a16="http://schemas.microsoft.com/office/drawing/2014/main" id="{E5447493-4F43-4CFC-9558-E6A3E93C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09" b="93284" l="7937" r="93651">
                      <a14:foregroundMark x1="77778" y1="22388" x2="86508" y2="69403"/>
                      <a14:foregroundMark x1="86508" y1="69403" x2="89683" y2="76119"/>
                      <a14:foregroundMark x1="14286" y1="28358" x2="11905" y2="87313"/>
                      <a14:foregroundMark x1="50794" y1="40299" x2="47619" y2="41791"/>
                      <a14:foregroundMark x1="46032" y1="43284" x2="46032" y2="43284"/>
                      <a14:foregroundMark x1="48413" y1="45522" x2="48413" y2="45522"/>
                      <a14:foregroundMark x1="42063" y1="41791" x2="58730" y2="52239"/>
                      <a14:foregroundMark x1="9524" y1="57463" x2="8730" y2="18657"/>
                      <a14:foregroundMark x1="8730" y1="18657" x2="65873" y2="11940"/>
                      <a14:foregroundMark x1="9524" y1="11194" x2="63492" y2="11194"/>
                      <a14:foregroundMark x1="63492" y1="11194" x2="82540" y2="9701"/>
                      <a14:foregroundMark x1="80952" y1="8209" x2="92063" y2="14925"/>
                      <a14:foregroundMark x1="92063" y1="14925" x2="92063" y2="14925"/>
                      <a14:foregroundMark x1="92063" y1="10448" x2="92063" y2="10448"/>
                      <a14:foregroundMark x1="90476" y1="9701" x2="90476" y2="9701"/>
                      <a14:foregroundMark x1="92857" y1="17164" x2="92857" y2="28358"/>
                      <a14:foregroundMark x1="92063" y1="13433" x2="92063" y2="58209"/>
                      <a14:foregroundMark x1="92063" y1="58209" x2="73962" y2="87838"/>
                      <a14:foregroundMark x1="45238" y1="90299" x2="45238" y2="90299"/>
                      <a14:foregroundMark x1="73810" y1="91045" x2="73810" y2="91045"/>
                      <a14:foregroundMark x1="69048" y1="88806" x2="69048" y2="88806"/>
                      <a14:foregroundMark x1="84921" y1="91045" x2="84921" y2="91045"/>
                      <a14:foregroundMark x1="92857" y1="90299" x2="92857" y2="90299"/>
                      <a14:foregroundMark x1="69841" y1="89552" x2="69841" y2="89552"/>
                      <a14:foregroundMark x1="93651" y1="30597" x2="93651" y2="30597"/>
                      <a14:foregroundMark x1="93651" y1="34328" x2="93651" y2="34328"/>
                      <a14:foregroundMark x1="92857" y1="38060" x2="92857" y2="40299"/>
                      <a14:foregroundMark x1="92857" y1="41045" x2="92857" y2="41045"/>
                      <a14:foregroundMark x1="92857" y1="45522" x2="92857" y2="46269"/>
                      <a14:foregroundMark x1="92857" y1="47015" x2="92857" y2="50000"/>
                      <a14:foregroundMark x1="92857" y1="51493" x2="92857" y2="51493"/>
                      <a14:foregroundMark x1="92857" y1="52239" x2="92857" y2="52239"/>
                      <a14:foregroundMark x1="92857" y1="57463" x2="92857" y2="57463"/>
                      <a14:foregroundMark x1="91270" y1="61940" x2="91270" y2="63433"/>
                      <a14:foregroundMark x1="91270" y1="64925" x2="91270" y2="64925"/>
                      <a14:foregroundMark x1="92857" y1="64179" x2="92857" y2="64179"/>
                      <a14:foregroundMark x1="93651" y1="68657" x2="93651" y2="68657"/>
                      <a14:foregroundMark x1="93651" y1="71642" x2="93651" y2="71642"/>
                      <a14:foregroundMark x1="93651" y1="73881" x2="93651" y2="73881"/>
                      <a14:backgroundMark x1="68254" y1="96269" x2="70635" y2="96269"/>
                      <a14:backgroundMark x1="69048" y1="94776" x2="69048" y2="94776"/>
                      <a14:backgroundMark x1="70635" y1="94030" x2="70635" y2="94030"/>
                      <a14:backgroundMark x1="69048" y1="91045" x2="69048" y2="96269"/>
                      <a14:backgroundMark x1="69048" y1="90299" x2="69048" y2="910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1" y="9448800"/>
          <a:ext cx="1083290" cy="1143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9-BD95-4ABA-B042-840D358F92C7}">
  <sheetPr>
    <pageSetUpPr fitToPage="1"/>
  </sheetPr>
  <dimension ref="A1:AG41"/>
  <sheetViews>
    <sheetView tabSelected="1" topLeftCell="A18" workbookViewId="0">
      <selection activeCell="D26" sqref="D26"/>
    </sheetView>
  </sheetViews>
  <sheetFormatPr defaultRowHeight="13.5"/>
  <cols>
    <col min="1" max="2" width="6.25" style="1" customWidth="1"/>
    <col min="3" max="3" width="7.125" style="1" customWidth="1"/>
    <col min="4" max="5" width="3.375" style="1" customWidth="1"/>
    <col min="6" max="6" width="3" style="1" customWidth="1"/>
    <col min="7" max="7" width="2.875" style="1" customWidth="1"/>
    <col min="8" max="8" width="8.125" style="1" customWidth="1"/>
    <col min="9" max="10" width="3.375" style="1" customWidth="1"/>
    <col min="11" max="11" width="5.25" style="1" customWidth="1"/>
    <col min="12" max="12" width="7.5" style="1" bestFit="1" customWidth="1"/>
    <col min="13" max="14" width="7.75" style="1" customWidth="1"/>
    <col min="15" max="15" width="11.75" style="1" customWidth="1"/>
    <col min="16" max="16384" width="9" style="1"/>
  </cols>
  <sheetData>
    <row r="1" spans="1:20" ht="29.25" customHeight="1">
      <c r="A1" s="33" t="s">
        <v>0</v>
      </c>
      <c r="B1" s="33"/>
      <c r="C1" s="33"/>
      <c r="D1" s="33"/>
      <c r="E1" s="33"/>
      <c r="F1" s="34"/>
      <c r="G1" s="34"/>
      <c r="H1" s="34"/>
      <c r="I1" s="35"/>
      <c r="J1" s="35"/>
      <c r="K1" s="35"/>
      <c r="L1" s="35"/>
      <c r="M1" s="35"/>
      <c r="N1" s="35"/>
      <c r="O1" s="35"/>
    </row>
    <row r="2" spans="1:20" ht="49.5" customHeight="1">
      <c r="A2" s="36"/>
      <c r="B2" s="37"/>
      <c r="C2" s="37"/>
      <c r="D2" s="37"/>
      <c r="E2" s="37"/>
      <c r="F2" s="37"/>
      <c r="G2" s="38"/>
      <c r="H2" s="39"/>
      <c r="I2" s="19"/>
      <c r="J2" s="41"/>
      <c r="K2" s="41"/>
      <c r="L2" s="41"/>
      <c r="M2" s="41"/>
      <c r="N2" s="41"/>
      <c r="O2" s="41"/>
      <c r="P2" s="20"/>
    </row>
    <row r="3" spans="1:20" ht="21.75" customHeight="1">
      <c r="A3" s="42" t="s">
        <v>29</v>
      </c>
      <c r="B3" s="43"/>
      <c r="C3" s="43"/>
      <c r="D3" s="43"/>
      <c r="E3" s="43"/>
      <c r="F3" s="43"/>
      <c r="G3" s="44"/>
      <c r="H3" s="45"/>
      <c r="I3" s="40"/>
      <c r="J3" s="41"/>
      <c r="K3" s="41"/>
      <c r="L3" s="41"/>
      <c r="M3" s="41"/>
      <c r="N3" s="41"/>
      <c r="O3" s="41"/>
      <c r="P3" s="20"/>
    </row>
    <row r="4" spans="1:20" ht="14.25" customHeight="1">
      <c r="A4" s="42" t="s">
        <v>28</v>
      </c>
      <c r="B4" s="43"/>
      <c r="C4" s="43"/>
      <c r="D4" s="43"/>
      <c r="E4" s="43"/>
      <c r="F4" s="43"/>
      <c r="G4" s="44"/>
      <c r="H4" s="45"/>
      <c r="I4" s="40"/>
      <c r="J4" s="41"/>
      <c r="K4" s="41"/>
      <c r="L4" s="41"/>
      <c r="M4" s="41"/>
      <c r="N4" s="41"/>
      <c r="O4" s="41"/>
      <c r="P4" s="20"/>
    </row>
    <row r="5" spans="1:20" ht="41.25" customHeight="1">
      <c r="A5" s="46" t="s">
        <v>31</v>
      </c>
      <c r="B5" s="47"/>
      <c r="C5" s="47"/>
      <c r="D5" s="47"/>
      <c r="E5" s="47"/>
      <c r="F5" s="47"/>
      <c r="G5" s="47"/>
      <c r="H5" s="45"/>
      <c r="I5" s="32"/>
      <c r="J5" s="48"/>
      <c r="K5" s="48"/>
      <c r="L5" s="48"/>
      <c r="M5" s="49" t="s">
        <v>30</v>
      </c>
      <c r="N5" s="49">
        <f>I13</f>
        <v>0</v>
      </c>
      <c r="O5" s="50" t="s">
        <v>1</v>
      </c>
      <c r="T5" s="29"/>
    </row>
    <row r="6" spans="1:20" ht="14.25" customHeight="1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7"/>
    </row>
    <row r="7" spans="1:20" ht="14.25" customHeight="1">
      <c r="A7" s="58"/>
      <c r="B7" s="58"/>
      <c r="C7" s="58"/>
      <c r="D7" s="58"/>
      <c r="E7" s="58"/>
      <c r="F7" s="58"/>
      <c r="G7" s="58"/>
      <c r="H7" s="58"/>
      <c r="I7" s="59"/>
      <c r="J7" s="60"/>
      <c r="K7" s="60"/>
      <c r="L7" s="60"/>
      <c r="M7" s="121"/>
      <c r="N7" s="121"/>
      <c r="O7" s="121"/>
    </row>
    <row r="8" spans="1:20" ht="9.75" customHeight="1">
      <c r="A8" s="54"/>
      <c r="B8" s="54"/>
      <c r="C8" s="54"/>
      <c r="D8" s="54"/>
      <c r="E8" s="54"/>
      <c r="F8" s="54"/>
      <c r="G8" s="54"/>
      <c r="H8" s="54"/>
      <c r="I8" s="61"/>
      <c r="J8" s="61"/>
      <c r="K8" s="61"/>
      <c r="L8" s="61"/>
      <c r="M8" s="61"/>
      <c r="N8" s="61"/>
      <c r="O8" s="61"/>
    </row>
    <row r="9" spans="1:20" ht="9" customHeight="1">
      <c r="A9" s="54"/>
      <c r="B9" s="54"/>
      <c r="C9" s="54"/>
      <c r="D9" s="54"/>
      <c r="E9" s="54"/>
      <c r="F9" s="54"/>
      <c r="G9" s="54"/>
      <c r="H9" s="54"/>
      <c r="I9" s="61"/>
      <c r="J9" s="61"/>
      <c r="K9" s="61"/>
      <c r="L9" s="61"/>
      <c r="M9" s="61"/>
      <c r="N9" s="61"/>
      <c r="O9" s="60"/>
    </row>
    <row r="10" spans="1:20" ht="18.75" customHeight="1">
      <c r="A10" s="62" t="s">
        <v>2</v>
      </c>
      <c r="B10" s="63"/>
      <c r="C10" s="63"/>
      <c r="D10" s="63"/>
      <c r="E10" s="63"/>
      <c r="F10" s="64"/>
      <c r="G10" s="65"/>
      <c r="H10" s="65"/>
      <c r="I10" s="62" t="s">
        <v>3</v>
      </c>
      <c r="J10" s="63"/>
      <c r="K10" s="63"/>
      <c r="L10" s="63"/>
      <c r="M10" s="63"/>
      <c r="N10" s="62" t="s">
        <v>4</v>
      </c>
      <c r="O10" s="64"/>
    </row>
    <row r="11" spans="1:20" s="2" customFormat="1" ht="27" customHeight="1">
      <c r="A11" s="66">
        <f>O29</f>
        <v>0</v>
      </c>
      <c r="B11" s="67"/>
      <c r="C11" s="67"/>
      <c r="D11" s="67"/>
      <c r="E11" s="67"/>
      <c r="F11" s="68"/>
      <c r="G11" s="54"/>
      <c r="H11" s="54"/>
      <c r="I11" s="117">
        <f>I5</f>
        <v>0</v>
      </c>
      <c r="J11" s="69"/>
      <c r="K11" s="69"/>
      <c r="L11" s="69"/>
      <c r="M11" s="69"/>
      <c r="N11" s="18">
        <v>46204</v>
      </c>
      <c r="O11" s="70"/>
    </row>
    <row r="12" spans="1:20" ht="10.5" customHeight="1">
      <c r="A12" s="54"/>
      <c r="B12" s="54"/>
      <c r="C12" s="54"/>
      <c r="D12" s="71"/>
      <c r="E12" s="71"/>
      <c r="F12" s="71"/>
      <c r="G12" s="54"/>
      <c r="H12" s="54"/>
      <c r="I12" s="54"/>
      <c r="J12" s="54"/>
      <c r="K12" s="54"/>
      <c r="L12" s="54"/>
      <c r="M12" s="54"/>
      <c r="N12" s="71"/>
      <c r="O12" s="65"/>
    </row>
    <row r="13" spans="1:20" ht="18.75" customHeight="1">
      <c r="A13" s="72" t="s">
        <v>5</v>
      </c>
      <c r="B13" s="73"/>
      <c r="D13" s="74"/>
      <c r="E13" s="118" t="s">
        <v>6</v>
      </c>
      <c r="F13" s="118"/>
      <c r="G13" s="3">
        <v>8</v>
      </c>
      <c r="H13" s="75" t="s">
        <v>7</v>
      </c>
      <c r="I13" s="3"/>
      <c r="J13" s="76" t="s">
        <v>8</v>
      </c>
      <c r="K13" s="58" t="s">
        <v>9</v>
      </c>
      <c r="L13" s="58"/>
      <c r="M13" s="58"/>
      <c r="N13" s="77"/>
      <c r="O13" s="54"/>
    </row>
    <row r="14" spans="1:20" ht="21.75" customHeight="1">
      <c r="A14" s="62" t="s">
        <v>10</v>
      </c>
      <c r="B14" s="78" t="s">
        <v>11</v>
      </c>
      <c r="C14" s="78" t="s">
        <v>12</v>
      </c>
      <c r="D14" s="62" t="s">
        <v>13</v>
      </c>
      <c r="E14" s="63"/>
      <c r="F14" s="63"/>
      <c r="G14" s="63"/>
      <c r="H14" s="63"/>
      <c r="I14" s="63"/>
      <c r="J14" s="63"/>
      <c r="K14" s="64"/>
      <c r="L14" s="62" t="s">
        <v>14</v>
      </c>
      <c r="M14" s="62" t="s">
        <v>15</v>
      </c>
      <c r="N14" s="79" t="s">
        <v>16</v>
      </c>
      <c r="O14" s="80" t="s">
        <v>17</v>
      </c>
    </row>
    <row r="15" spans="1:20" s="2" customFormat="1" ht="21" customHeight="1">
      <c r="A15" s="15"/>
      <c r="B15" s="16"/>
      <c r="C15" s="16"/>
      <c r="D15" s="27"/>
      <c r="E15" s="81"/>
      <c r="F15" s="81"/>
      <c r="G15" s="81"/>
      <c r="H15" s="81"/>
      <c r="I15" s="81"/>
      <c r="J15" s="81"/>
      <c r="K15" s="82"/>
      <c r="L15" s="23"/>
      <c r="M15" s="17"/>
      <c r="N15" s="31"/>
      <c r="O15" s="21"/>
    </row>
    <row r="16" spans="1:20" ht="21" customHeight="1">
      <c r="A16" s="15"/>
      <c r="B16" s="16"/>
      <c r="C16" s="16"/>
      <c r="D16" s="27"/>
      <c r="E16" s="81"/>
      <c r="F16" s="81"/>
      <c r="G16" s="81"/>
      <c r="H16" s="81"/>
      <c r="I16" s="81"/>
      <c r="J16" s="81"/>
      <c r="K16" s="82"/>
      <c r="L16" s="23"/>
      <c r="M16" s="17"/>
      <c r="N16" s="31"/>
      <c r="O16" s="21"/>
    </row>
    <row r="17" spans="1:15" ht="21" customHeight="1">
      <c r="A17" s="15"/>
      <c r="B17" s="16"/>
      <c r="C17" s="16"/>
      <c r="D17" s="27"/>
      <c r="E17" s="81"/>
      <c r="F17" s="81"/>
      <c r="G17" s="81"/>
      <c r="H17" s="81"/>
      <c r="I17" s="81"/>
      <c r="J17" s="81"/>
      <c r="K17" s="82"/>
      <c r="L17" s="23"/>
      <c r="M17" s="17"/>
      <c r="N17" s="31"/>
      <c r="O17" s="21"/>
    </row>
    <row r="18" spans="1:15" ht="21" customHeight="1">
      <c r="A18" s="15"/>
      <c r="B18" s="16"/>
      <c r="C18" s="16"/>
      <c r="D18" s="27"/>
      <c r="E18" s="81"/>
      <c r="F18" s="81"/>
      <c r="G18" s="81"/>
      <c r="H18" s="81"/>
      <c r="I18" s="81"/>
      <c r="J18" s="81"/>
      <c r="K18" s="82"/>
      <c r="L18" s="23"/>
      <c r="M18" s="17"/>
      <c r="N18" s="31"/>
      <c r="O18" s="21"/>
    </row>
    <row r="19" spans="1:15" ht="21" customHeight="1">
      <c r="A19" s="15"/>
      <c r="B19" s="16"/>
      <c r="C19" s="16"/>
      <c r="D19" s="27"/>
      <c r="E19" s="81"/>
      <c r="F19" s="81"/>
      <c r="G19" s="81"/>
      <c r="H19" s="81"/>
      <c r="I19" s="81"/>
      <c r="J19" s="81"/>
      <c r="K19" s="82"/>
      <c r="L19" s="23"/>
      <c r="M19" s="17"/>
      <c r="N19" s="31"/>
      <c r="O19" s="21"/>
    </row>
    <row r="20" spans="1:15" ht="21" customHeight="1">
      <c r="A20" s="15"/>
      <c r="B20" s="16"/>
      <c r="C20" s="16"/>
      <c r="D20" s="27"/>
      <c r="E20" s="81"/>
      <c r="F20" s="81"/>
      <c r="G20" s="81"/>
      <c r="H20" s="81"/>
      <c r="I20" s="81"/>
      <c r="J20" s="81"/>
      <c r="K20" s="82"/>
      <c r="L20" s="23"/>
      <c r="M20" s="17"/>
      <c r="N20" s="31"/>
      <c r="O20" s="21"/>
    </row>
    <row r="21" spans="1:15" ht="21" customHeight="1">
      <c r="A21" s="15"/>
      <c r="B21" s="16"/>
      <c r="C21" s="16"/>
      <c r="D21" s="27"/>
      <c r="E21" s="81"/>
      <c r="F21" s="81"/>
      <c r="G21" s="81"/>
      <c r="H21" s="81"/>
      <c r="I21" s="81"/>
      <c r="J21" s="81"/>
      <c r="K21" s="82"/>
      <c r="L21" s="23"/>
      <c r="M21" s="17"/>
      <c r="N21" s="31"/>
      <c r="O21" s="21"/>
    </row>
    <row r="22" spans="1:15" ht="21" customHeight="1">
      <c r="A22" s="15"/>
      <c r="B22" s="16"/>
      <c r="C22" s="16"/>
      <c r="D22" s="27"/>
      <c r="E22" s="81"/>
      <c r="F22" s="81"/>
      <c r="G22" s="81"/>
      <c r="H22" s="81"/>
      <c r="I22" s="81"/>
      <c r="J22" s="81"/>
      <c r="K22" s="82"/>
      <c r="L22" s="23"/>
      <c r="M22" s="17"/>
      <c r="N22" s="31"/>
      <c r="O22" s="21"/>
    </row>
    <row r="23" spans="1:15" ht="21" customHeight="1">
      <c r="A23" s="15"/>
      <c r="B23" s="16"/>
      <c r="C23" s="16"/>
      <c r="D23" s="27"/>
      <c r="E23" s="81"/>
      <c r="F23" s="81"/>
      <c r="G23" s="81"/>
      <c r="H23" s="81"/>
      <c r="I23" s="81"/>
      <c r="J23" s="81"/>
      <c r="K23" s="82"/>
      <c r="L23" s="23"/>
      <c r="M23" s="17"/>
      <c r="N23" s="31"/>
      <c r="O23" s="21"/>
    </row>
    <row r="24" spans="1:15" ht="21" customHeight="1">
      <c r="A24" s="15"/>
      <c r="B24" s="25"/>
      <c r="C24" s="25"/>
      <c r="D24" s="27"/>
      <c r="E24" s="81"/>
      <c r="F24" s="81"/>
      <c r="G24" s="81"/>
      <c r="H24" s="81"/>
      <c r="I24" s="81"/>
      <c r="J24" s="81"/>
      <c r="K24" s="82"/>
      <c r="L24" s="23"/>
      <c r="M24" s="24"/>
      <c r="N24" s="31"/>
      <c r="O24" s="21"/>
    </row>
    <row r="25" spans="1:15" ht="21" customHeight="1">
      <c r="A25" s="15"/>
      <c r="B25" s="25"/>
      <c r="C25" s="25"/>
      <c r="D25" s="27" t="s">
        <v>27</v>
      </c>
      <c r="E25" s="81"/>
      <c r="F25" s="81"/>
      <c r="G25" s="81"/>
      <c r="H25" s="81"/>
      <c r="I25" s="81"/>
      <c r="J25" s="81"/>
      <c r="K25" s="82"/>
      <c r="L25" s="24"/>
      <c r="M25" s="24"/>
      <c r="N25" s="31"/>
      <c r="O25" s="21">
        <f>470*L25</f>
        <v>0</v>
      </c>
    </row>
    <row r="26" spans="1:15" ht="21" customHeight="1">
      <c r="A26" s="22"/>
      <c r="B26" s="26"/>
      <c r="C26" s="26"/>
      <c r="D26" s="27"/>
      <c r="E26" s="81"/>
      <c r="F26" s="81"/>
      <c r="G26" s="81"/>
      <c r="H26" s="81"/>
      <c r="I26" s="81"/>
      <c r="J26" s="81"/>
      <c r="K26" s="82"/>
      <c r="L26" s="24"/>
      <c r="M26" s="24"/>
      <c r="N26" s="31"/>
      <c r="O26" s="21"/>
    </row>
    <row r="27" spans="1:15" ht="21" customHeight="1">
      <c r="A27" s="84"/>
      <c r="B27" s="85"/>
      <c r="C27" s="85"/>
      <c r="D27" s="86"/>
      <c r="E27" s="86"/>
      <c r="F27" s="86"/>
      <c r="G27" s="86"/>
      <c r="H27" s="86"/>
      <c r="I27" s="86"/>
      <c r="J27" s="86"/>
      <c r="K27" s="87"/>
      <c r="L27" s="88" t="s">
        <v>18</v>
      </c>
      <c r="M27" s="89"/>
      <c r="N27" s="89"/>
      <c r="O27" s="83">
        <f>O29-O28</f>
        <v>0</v>
      </c>
    </row>
    <row r="28" spans="1:15" ht="21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90"/>
      <c r="L28" s="91" t="s">
        <v>19</v>
      </c>
      <c r="M28" s="92"/>
      <c r="N28" s="92"/>
      <c r="O28" s="83">
        <f>O17+O24</f>
        <v>0</v>
      </c>
    </row>
    <row r="29" spans="1:15" ht="21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90"/>
      <c r="L29" s="93" t="s">
        <v>20</v>
      </c>
      <c r="M29" s="94"/>
      <c r="N29" s="94"/>
      <c r="O29" s="95">
        <f>SUM(O15:O26)</f>
        <v>0</v>
      </c>
    </row>
    <row r="30" spans="1:15" ht="18.75" customHeight="1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98"/>
      <c r="N30" s="98"/>
      <c r="O30" s="98"/>
    </row>
    <row r="31" spans="1:15" ht="13.5" customHeight="1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3.5" customHeight="1">
      <c r="A32" s="120" t="s">
        <v>21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</row>
    <row r="33" spans="1:33" ht="14.2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</row>
    <row r="34" spans="1:33" ht="14.2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</row>
    <row r="35" spans="1:33" ht="13.5" customHeight="1">
      <c r="A35" s="102" t="s">
        <v>22</v>
      </c>
      <c r="B35" s="103" t="s">
        <v>23</v>
      </c>
      <c r="C35" s="28" t="s">
        <v>37</v>
      </c>
      <c r="D35" s="102" t="s">
        <v>24</v>
      </c>
      <c r="E35" s="101"/>
      <c r="F35" s="101"/>
      <c r="G35" s="104"/>
      <c r="H35" s="104"/>
      <c r="I35" s="119" t="s">
        <v>36</v>
      </c>
      <c r="J35" s="119"/>
      <c r="K35" s="119"/>
      <c r="L35" s="119"/>
      <c r="M35" s="119"/>
      <c r="N35" s="119"/>
    </row>
    <row r="36" spans="1:33" ht="13.5" customHeight="1">
      <c r="A36" s="65"/>
      <c r="B36" s="65"/>
      <c r="C36" s="105"/>
      <c r="D36" s="65"/>
      <c r="E36" s="65"/>
      <c r="F36" s="65"/>
      <c r="G36" s="101"/>
      <c r="H36" s="101"/>
      <c r="I36" s="119"/>
      <c r="J36" s="119"/>
      <c r="K36" s="119"/>
      <c r="L36" s="119"/>
      <c r="M36" s="119"/>
      <c r="N36" s="119"/>
      <c r="O36" s="101"/>
    </row>
    <row r="37" spans="1:33" ht="24" customHeight="1">
      <c r="A37" s="62" t="s">
        <v>25</v>
      </c>
      <c r="B37" s="63"/>
      <c r="C37" s="63"/>
      <c r="D37" s="63"/>
      <c r="E37" s="63"/>
      <c r="F37" s="64"/>
      <c r="G37" s="54"/>
      <c r="H37" s="106"/>
      <c r="I37" s="119"/>
      <c r="J37" s="119"/>
      <c r="K37" s="119"/>
      <c r="L37" s="119"/>
      <c r="M37" s="119"/>
      <c r="N37" s="119"/>
      <c r="O37" s="107"/>
    </row>
    <row r="38" spans="1:33" ht="27" customHeight="1">
      <c r="A38" s="66">
        <f>A11</f>
        <v>0</v>
      </c>
      <c r="B38" s="67"/>
      <c r="C38" s="67"/>
      <c r="D38" s="67"/>
      <c r="E38" s="67"/>
      <c r="F38" s="68"/>
      <c r="G38" s="108"/>
      <c r="H38" s="108"/>
      <c r="I38" s="119"/>
      <c r="J38" s="119"/>
      <c r="K38" s="119"/>
      <c r="L38" s="119"/>
      <c r="M38" s="119"/>
      <c r="N38" s="119"/>
      <c r="O38" s="107"/>
      <c r="U38" s="5"/>
      <c r="V38" s="4"/>
      <c r="W38" s="6"/>
      <c r="X38" s="6"/>
      <c r="Y38" s="6"/>
      <c r="Z38" s="6"/>
      <c r="AA38" s="6"/>
      <c r="AB38" s="6"/>
      <c r="AC38" s="6"/>
      <c r="AD38" s="6"/>
      <c r="AE38" s="7"/>
      <c r="AF38" s="8"/>
      <c r="AG38" s="8"/>
    </row>
    <row r="39" spans="1:33" ht="13.5" customHeight="1">
      <c r="A39" s="109"/>
      <c r="B39" s="109"/>
      <c r="C39" s="109"/>
      <c r="D39" s="109"/>
      <c r="E39" s="109"/>
      <c r="F39" s="109"/>
      <c r="G39" s="108"/>
      <c r="H39" s="108"/>
      <c r="I39" s="119"/>
      <c r="J39" s="119"/>
      <c r="K39" s="119"/>
      <c r="L39" s="119"/>
      <c r="M39" s="119"/>
      <c r="N39" s="119"/>
      <c r="O39" s="107"/>
      <c r="U39" s="9"/>
      <c r="V39" s="6"/>
      <c r="W39" s="4"/>
      <c r="X39" s="6"/>
      <c r="Y39" s="6"/>
      <c r="Z39" s="6"/>
      <c r="AA39" s="6"/>
      <c r="AB39" s="6"/>
      <c r="AC39" s="6"/>
      <c r="AD39" s="6"/>
      <c r="AE39" s="7"/>
      <c r="AF39" s="8"/>
      <c r="AG39" s="8"/>
    </row>
    <row r="40" spans="1:33" ht="27" customHeight="1">
      <c r="A40" s="110" t="s">
        <v>26</v>
      </c>
      <c r="B40" s="111" t="s">
        <v>32</v>
      </c>
      <c r="C40" s="112">
        <f>G13</f>
        <v>8</v>
      </c>
      <c r="D40" s="113" t="s">
        <v>33</v>
      </c>
      <c r="E40" s="113">
        <f>I13</f>
        <v>0</v>
      </c>
      <c r="F40" s="114" t="s">
        <v>34</v>
      </c>
      <c r="G40" s="115" t="s">
        <v>35</v>
      </c>
      <c r="H40" s="116"/>
      <c r="I40" s="119"/>
      <c r="J40" s="119"/>
      <c r="K40" s="119"/>
      <c r="L40" s="119"/>
      <c r="M40" s="119"/>
      <c r="N40" s="119"/>
      <c r="O40" s="107"/>
      <c r="U40" s="9"/>
      <c r="V40" s="6"/>
      <c r="W40" s="4"/>
      <c r="X40" s="10"/>
      <c r="Y40" s="4"/>
      <c r="Z40" s="11"/>
      <c r="AA40" s="11"/>
      <c r="AB40" s="11"/>
      <c r="AC40" s="11"/>
      <c r="AD40" s="11"/>
      <c r="AE40" s="7"/>
      <c r="AF40" s="8"/>
      <c r="AG40" s="8"/>
    </row>
    <row r="41" spans="1:33" ht="13.5" customHeight="1">
      <c r="I41" s="30"/>
      <c r="J41" s="30"/>
      <c r="K41" s="30"/>
      <c r="L41" s="30"/>
      <c r="M41" s="30"/>
      <c r="N41" s="30"/>
      <c r="U41" s="12"/>
      <c r="V41" s="4"/>
      <c r="W41" s="13"/>
      <c r="X41" s="14"/>
      <c r="Y41" s="14"/>
      <c r="Z41" s="14"/>
      <c r="AA41" s="14"/>
      <c r="AB41" s="14"/>
      <c r="AC41" s="14"/>
      <c r="AD41" s="14"/>
      <c r="AE41" s="7"/>
      <c r="AF41" s="8"/>
      <c r="AG41" s="8"/>
    </row>
  </sheetData>
  <sheetProtection sheet="1" formatCells="0" formatColumns="0" formatRows="0" selectLockedCells="1"/>
  <mergeCells count="4">
    <mergeCell ref="E13:F13"/>
    <mergeCell ref="I35:N40"/>
    <mergeCell ref="A32:O33"/>
    <mergeCell ref="M7:O7"/>
  </mergeCells>
  <phoneticPr fontId="4"/>
  <dataValidations count="4">
    <dataValidation type="list" allowBlank="1" showInputMessage="1" showErrorMessage="1" sqref="A35" xr:uid="{982B628E-94AF-42A0-B15A-23FEE3B3DF92}">
      <formula1>"前月分,当月分"</formula1>
    </dataValidation>
    <dataValidation imeMode="off" allowBlank="1" showInputMessage="1" showErrorMessage="1" sqref="B15:C23" xr:uid="{1EB02C9F-A03F-4F2D-8EE1-41B9A8D07961}"/>
    <dataValidation type="list" allowBlank="1" showInputMessage="1" showErrorMessage="1" sqref="C36" xr:uid="{0A533BE3-500D-42E9-ABD9-33BA937BCAF1}">
      <formula1>"「選択」,集金,口座振替,振込"</formula1>
    </dataValidation>
    <dataValidation type="list" allowBlank="1" showInputMessage="1" showErrorMessage="1" sqref="C35" xr:uid="{468335A0-0240-4401-8278-ADC5FE383BF6}">
      <formula1>"   ,集金,口座振替,振込"</formula1>
    </dataValidation>
  </dataValidations>
  <pageMargins left="0.7" right="0.7" top="0.75" bottom="0.75" header="0.3" footer="0.3"/>
  <pageSetup paperSize="9" scale="92" fitToWidth="0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丹田　俊幸 株式会社　介護福祉サービス舟島</cp:lastModifiedBy>
  <cp:lastPrinted>2026-06-03T06:47:11Z</cp:lastPrinted>
  <dcterms:created xsi:type="dcterms:W3CDTF">2021-12-22T11:32:19Z</dcterms:created>
  <dcterms:modified xsi:type="dcterms:W3CDTF">2026-07-29T04:16:20Z</dcterms:modified>
</cp:coreProperties>
</file>