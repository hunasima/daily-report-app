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6bd8b67dbe05400/ドキュメント/ケアサービス　たんでん/各種資料　原本/請求書/"/>
    </mc:Choice>
  </mc:AlternateContent>
  <xr:revisionPtr revIDLastSave="4" documentId="8_{490BA829-FA41-49C2-9522-0F48835986A0}" xr6:coauthVersionLast="47" xr6:coauthVersionMax="47" xr10:uidLastSave="{F74B21CD-AFD0-4643-8115-0B3E64690349}"/>
  <workbookProtection lockStructure="1"/>
  <bookViews>
    <workbookView xWindow="28680" yWindow="-120" windowWidth="29040" windowHeight="15720" xr2:uid="{5209DA7A-5152-4F99-B3B1-55AC7DC7D125}"/>
  </bookViews>
  <sheets>
    <sheet name="Sheet1" sheetId="1" r:id="rId1"/>
  </sheets>
  <definedNames>
    <definedName name="_xlnm.Print_Area" localSheetId="0">Sheet1!$A$1:$O$38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7" i="1"/>
  <c r="L18" i="1"/>
  <c r="L19" i="1"/>
  <c r="L20" i="1"/>
  <c r="L21" i="1"/>
  <c r="L22" i="1"/>
  <c r="L23" i="1"/>
  <c r="L24" i="1"/>
  <c r="I11" i="1"/>
  <c r="N5" i="1"/>
  <c r="O28" i="1" l="1"/>
  <c r="L15" i="1"/>
  <c r="O25" i="1"/>
  <c r="O29" i="1" s="1"/>
  <c r="A11" i="1" s="1"/>
  <c r="O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27" authorId="0" shapeId="0" xr:uid="{AF570E68-652C-4001-B2A4-4BC223893557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</text>
    </comment>
    <comment ref="O28" authorId="0" shapeId="0" xr:uid="{FD78ECD5-AA28-475C-8D3E-68AB12AA1E0A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<sst xmlns="http://schemas.openxmlformats.org/spreadsheetml/2006/main" count="49" uniqueCount="49">
  <si>
    <r>
      <t>請求書</t>
    </r>
    <r>
      <rPr>
        <sz val="10"/>
        <color indexed="8"/>
        <rFont val="ＭＳ 明朝"/>
        <family val="1"/>
        <charset val="128"/>
      </rPr>
      <t>(ご利用明細書)</t>
    </r>
    <rPh sb="0" eb="3">
      <t>セイキュウショ</t>
    </rPh>
    <rPh sb="5" eb="7">
      <t>リヨウ</t>
    </rPh>
    <rPh sb="7" eb="9">
      <t>メイサイ</t>
    </rPh>
    <rPh sb="9" eb="10">
      <t>ショ</t>
    </rPh>
    <phoneticPr fontId="5"/>
  </si>
  <si>
    <t>月ご利用分）</t>
    <rPh sb="0" eb="1">
      <t>ガツ</t>
    </rPh>
    <rPh sb="2" eb="4">
      <t>リヨウ</t>
    </rPh>
    <rPh sb="4" eb="5">
      <t>ブン</t>
    </rPh>
    <phoneticPr fontId="5"/>
  </si>
  <si>
    <t>今回ご請求金額</t>
    <rPh sb="0" eb="2">
      <t>コンカイ</t>
    </rPh>
    <rPh sb="3" eb="5">
      <t>セイキュウ</t>
    </rPh>
    <rPh sb="5" eb="7">
      <t>キンガク</t>
    </rPh>
    <phoneticPr fontId="5"/>
  </si>
  <si>
    <t>利用者氏名</t>
    <rPh sb="0" eb="3">
      <t>リヨウシャ</t>
    </rPh>
    <rPh sb="3" eb="5">
      <t>シメイ</t>
    </rPh>
    <phoneticPr fontId="5"/>
  </si>
  <si>
    <t>発行日</t>
    <rPh sb="0" eb="3">
      <t>ハッコウビ</t>
    </rPh>
    <phoneticPr fontId="5"/>
  </si>
  <si>
    <t>サービス明細</t>
    <rPh sb="4" eb="6">
      <t>メイサイ</t>
    </rPh>
    <phoneticPr fontId="5"/>
  </si>
  <si>
    <t>令和</t>
    <rPh sb="0" eb="1">
      <t>レイ</t>
    </rPh>
    <rPh sb="1" eb="2">
      <t>ワ</t>
    </rPh>
    <phoneticPr fontId="5"/>
  </si>
  <si>
    <t>年</t>
    <rPh sb="0" eb="1">
      <t>ネン</t>
    </rPh>
    <phoneticPr fontId="5"/>
  </si>
  <si>
    <t>月</t>
    <rPh sb="0" eb="1">
      <t>ガツ</t>
    </rPh>
    <phoneticPr fontId="5"/>
  </si>
  <si>
    <t>ご利用分</t>
    <rPh sb="1" eb="3">
      <t>リヨウ</t>
    </rPh>
    <rPh sb="3" eb="4">
      <t>ブン</t>
    </rPh>
    <phoneticPr fontId="5"/>
  </si>
  <si>
    <t>日付</t>
    <rPh sb="0" eb="2">
      <t>ヒヅケ</t>
    </rPh>
    <phoneticPr fontId="5"/>
  </si>
  <si>
    <t>開始</t>
    <rPh sb="0" eb="2">
      <t>カイシ</t>
    </rPh>
    <phoneticPr fontId="5"/>
  </si>
  <si>
    <t>終了</t>
    <rPh sb="0" eb="2">
      <t>シュウリョウ</t>
    </rPh>
    <phoneticPr fontId="5"/>
  </si>
  <si>
    <t>サービス内容</t>
    <rPh sb="4" eb="6">
      <t>ナイヨウ</t>
    </rPh>
    <phoneticPr fontId="5"/>
  </si>
  <si>
    <t>時間</t>
    <rPh sb="0" eb="2">
      <t>ジカン</t>
    </rPh>
    <phoneticPr fontId="5"/>
  </si>
  <si>
    <t>距離</t>
    <rPh sb="0" eb="2">
      <t>キョリ</t>
    </rPh>
    <phoneticPr fontId="5"/>
  </si>
  <si>
    <t>早朝・夜間</t>
    <rPh sb="0" eb="2">
      <t>ソウチョウ</t>
    </rPh>
    <rPh sb="3" eb="5">
      <t>ヤカン</t>
    </rPh>
    <phoneticPr fontId="5"/>
  </si>
  <si>
    <t>金額</t>
    <rPh sb="0" eb="2">
      <t>キンガク</t>
    </rPh>
    <phoneticPr fontId="5"/>
  </si>
  <si>
    <t>利用料</t>
    <rPh sb="0" eb="3">
      <t>リヨウリョウ</t>
    </rPh>
    <phoneticPr fontId="5"/>
  </si>
  <si>
    <t>立替金</t>
    <rPh sb="0" eb="3">
      <t>タテカエキン</t>
    </rPh>
    <phoneticPr fontId="5"/>
  </si>
  <si>
    <t>合計</t>
  </si>
  <si>
    <t>任意代理人　月額管理 金銭管理　郵便管理</t>
    <rPh sb="11" eb="13">
      <t>キンセン</t>
    </rPh>
    <rPh sb="13" eb="15">
      <t>カンリ</t>
    </rPh>
    <rPh sb="16" eb="18">
      <t>ユウビン</t>
    </rPh>
    <rPh sb="18" eb="20">
      <t>カンリ</t>
    </rPh>
    <phoneticPr fontId="4"/>
  </si>
  <si>
    <t>有料老人ホーム　サンライフ東駅</t>
    <rPh sb="0" eb="4">
      <t>ユウリョウロウジン</t>
    </rPh>
    <rPh sb="13" eb="15">
      <t>ヒガシエキ</t>
    </rPh>
    <phoneticPr fontId="4"/>
  </si>
  <si>
    <t>齋藤俊子</t>
    <rPh sb="0" eb="2">
      <t>サイトウ</t>
    </rPh>
    <rPh sb="2" eb="4">
      <t>トシコ</t>
    </rPh>
    <phoneticPr fontId="5"/>
  </si>
  <si>
    <t>有料道路　470円</t>
    <rPh sb="0" eb="4">
      <t>ユウリョウドウロ</t>
    </rPh>
    <rPh sb="8" eb="9">
      <t>エン</t>
    </rPh>
    <phoneticPr fontId="4"/>
  </si>
  <si>
    <t>土地代支払い代行</t>
    <phoneticPr fontId="4"/>
  </si>
  <si>
    <t>野村整形同行</t>
    <phoneticPr fontId="4"/>
  </si>
  <si>
    <t>診察代立替</t>
    <rPh sb="0" eb="5">
      <t>シンサツダイタテカエ</t>
    </rPh>
    <phoneticPr fontId="4"/>
  </si>
  <si>
    <t>誠に有り難うございます。</t>
  </si>
  <si>
    <t>いつも弊社の暮らし応援サービスをご利用いただき</t>
  </si>
  <si>
    <t>（</t>
    <phoneticPr fontId="4"/>
  </si>
  <si>
    <t>前月ご利用いただきましたサービス明細書を送付
いたしましたのでご確認ください。
ご不明な点は下記事業所までお問い合わせください。</t>
    <phoneticPr fontId="4"/>
  </si>
  <si>
    <t>山口県下関市王喜本町5丁目2番32-2号</t>
  </si>
  <si>
    <t>ケアサービス たんでん</t>
  </si>
  <si>
    <t>TEL　070-3968-0697</t>
  </si>
  <si>
    <t>運営法人</t>
    <rPh sb="0" eb="2">
      <t>ウンエイ</t>
    </rPh>
    <rPh sb="2" eb="4">
      <t>ホウジン</t>
    </rPh>
    <phoneticPr fontId="5"/>
  </si>
  <si>
    <t>株式会社介護福祉サービス舟島</t>
    <rPh sb="0" eb="8">
      <t>カブシキガイシャカイゴフクシ</t>
    </rPh>
    <rPh sb="12" eb="14">
      <t>フネシマ</t>
    </rPh>
    <phoneticPr fontId="5"/>
  </si>
  <si>
    <t>〈振込先〉</t>
    <rPh sb="1" eb="4">
      <t>フリコミサキ</t>
    </rPh>
    <phoneticPr fontId="5"/>
  </si>
  <si>
    <t>西中国信用金庫</t>
    <rPh sb="0" eb="1">
      <t>ニシ</t>
    </rPh>
    <rPh sb="1" eb="3">
      <t>チュウゴク</t>
    </rPh>
    <rPh sb="3" eb="5">
      <t>シンヨウ</t>
    </rPh>
    <rPh sb="5" eb="7">
      <t>キンコ</t>
    </rPh>
    <phoneticPr fontId="5"/>
  </si>
  <si>
    <t>山口銀行</t>
    <rPh sb="0" eb="2">
      <t>ヤマグチ</t>
    </rPh>
    <rPh sb="2" eb="4">
      <t>ギンコウ</t>
    </rPh>
    <phoneticPr fontId="5"/>
  </si>
  <si>
    <t>小月支店　店番137</t>
    <rPh sb="0" eb="10">
      <t>テンバン</t>
    </rPh>
    <phoneticPr fontId="5"/>
  </si>
  <si>
    <t>小月支店　店番009</t>
    <rPh sb="0" eb="2">
      <t>オヅキ</t>
    </rPh>
    <rPh sb="2" eb="4">
      <t>シテン</t>
    </rPh>
    <rPh sb="5" eb="7">
      <t>テンバン</t>
    </rPh>
    <phoneticPr fontId="5"/>
  </si>
  <si>
    <t>普通預金　口座番号0255755</t>
    <rPh sb="0" eb="2">
      <t>フツウ</t>
    </rPh>
    <rPh sb="2" eb="4">
      <t>ヨキン</t>
    </rPh>
    <rPh sb="5" eb="7">
      <t>コウザ</t>
    </rPh>
    <rPh sb="7" eb="9">
      <t>バンゴウ</t>
    </rPh>
    <phoneticPr fontId="5"/>
  </si>
  <si>
    <t>普通預金　口座番号5048185</t>
    <phoneticPr fontId="5"/>
  </si>
  <si>
    <t>口座名義　ｶ）ｶｲｺﾞﾌｸｼｻｰﾋﾞｽﾌﾅｼﾏ</t>
    <rPh sb="0" eb="2">
      <t>コウザ</t>
    </rPh>
    <rPh sb="2" eb="4">
      <t>メイギ</t>
    </rPh>
    <phoneticPr fontId="5"/>
  </si>
  <si>
    <t>口座名義　ｶ）ｶｲｺﾞﾌｸｼｻｰﾋﾞｽﾌﾅｼﾏ</t>
    <phoneticPr fontId="5"/>
  </si>
  <si>
    <t>※</t>
    <phoneticPr fontId="5"/>
  </si>
  <si>
    <t>振込手数料はご負担ください</t>
    <rPh sb="0" eb="2">
      <t>フリコミ</t>
    </rPh>
    <rPh sb="2" eb="5">
      <t>テスウリョウ</t>
    </rPh>
    <rPh sb="7" eb="9">
      <t>フタン</t>
    </rPh>
    <phoneticPr fontId="5"/>
  </si>
  <si>
    <t>振込明細書をもって領収書の発行に代えさせていただきます</t>
    <rPh sb="0" eb="2">
      <t>フリコミ</t>
    </rPh>
    <rPh sb="2" eb="5">
      <t>メイサイショ</t>
    </rPh>
    <rPh sb="9" eb="12">
      <t>リョウシュウショ</t>
    </rPh>
    <rPh sb="13" eb="15">
      <t>ハッコウ</t>
    </rPh>
    <rPh sb="16" eb="17">
      <t>カ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</si>
</sst>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¥&quot;#,##0_);\(&quot;¥&quot;#,##0\)"/>
    <numFmt numFmtId="177" formatCode="yyyy/m/d;@"/>
    <numFmt numFmtId="178" formatCode="[$-411]ggge&quot;年&quot;m&quot;月&quot;&quot;分&quot;"/>
    <numFmt numFmtId="179" formatCode="h:mm;@"/>
    <numFmt numFmtId="180" formatCode="m/d;@"/>
    <numFmt numFmtId="181" formatCode="#,##0_ ;[Red]\-#,##0\ "/>
  </numFmts>
  <fonts count="3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14"/>
      <color indexed="8"/>
      <name val="ＭＳ 明朝"/>
      <family val="1"/>
      <charset val="128"/>
    </font>
    <font>
      <sz val="10"/>
      <color indexed="8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20"/>
      <color indexed="8"/>
      <name val="ＭＳ 明朝"/>
      <family val="1"/>
      <charset val="128"/>
    </font>
    <font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8"/>
      <name val="ＭＳ Ｐゴシック"/>
      <family val="3"/>
      <charset val="128"/>
    </font>
    <font>
      <sz val="12"/>
      <name val="ＭＳ 明朝"/>
      <family val="1"/>
      <charset val="128"/>
    </font>
    <font>
      <sz val="12"/>
      <color indexed="8"/>
      <name val="ＭＳ 明朝"/>
      <family val="1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ＭＳ Ｐゴシック"/>
      <family val="3"/>
      <charset val="128"/>
    </font>
    <font>
      <sz val="10"/>
      <name val="ＭＳ 明朝"/>
      <family val="1"/>
      <charset val="128"/>
    </font>
    <font>
      <sz val="11"/>
      <name val="ＭＳ Ｐゴシック"/>
      <family val="3"/>
      <charset val="128"/>
    </font>
    <font>
      <sz val="8"/>
      <color indexed="8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ＭＳ 明朝"/>
      <family val="1"/>
      <charset val="128"/>
    </font>
    <font>
      <sz val="11"/>
      <color indexed="8"/>
      <name val="ＭＳ Ｐ明朝"/>
      <family val="1"/>
      <charset val="128"/>
    </font>
    <font>
      <sz val="8"/>
      <color indexed="8"/>
      <name val="ＭＳ 明朝"/>
      <family val="1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4"/>
      <name val="ＭＳ ゴシック"/>
      <family val="3"/>
      <charset val="128"/>
    </font>
    <font>
      <sz val="8"/>
      <name val="ＭＳ Ｐ明朝"/>
      <family val="1"/>
      <charset val="128"/>
    </font>
    <font>
      <sz val="14"/>
      <color indexed="8"/>
      <name val="ＭＳ Ｐ明朝"/>
      <family val="1"/>
      <charset val="128"/>
    </font>
    <font>
      <sz val="20"/>
      <color indexed="8"/>
      <name val="ＭＳ Ｐ明朝"/>
      <family val="1"/>
      <charset val="128"/>
    </font>
    <font>
      <sz val="12"/>
      <name val="ＭＳ Ｐ明朝"/>
      <family val="1"/>
      <charset val="128"/>
    </font>
    <font>
      <sz val="1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465926084170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7" fillId="0" borderId="0">
      <alignment vertical="center"/>
    </xf>
    <xf numFmtId="38" fontId="17" fillId="0" borderId="0" applyFont="0" applyFill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8" fillId="0" borderId="0" xfId="0" applyFont="1">
      <alignment vertical="center"/>
    </xf>
    <xf numFmtId="0" fontId="16" fillId="0" borderId="0" xfId="0" applyFont="1">
      <alignment vertical="center"/>
    </xf>
    <xf numFmtId="0" fontId="11" fillId="0" borderId="0" xfId="1" applyFont="1" applyAlignment="1" applyProtection="1">
      <alignment horizontal="center" vertical="center"/>
      <protection locked="0"/>
    </xf>
    <xf numFmtId="0" fontId="8" fillId="0" borderId="0" xfId="0" applyFont="1" applyProtection="1">
      <alignment vertical="center"/>
      <protection locked="0"/>
    </xf>
    <xf numFmtId="176" fontId="14" fillId="0" borderId="0" xfId="1" applyNumberFormat="1" applyFont="1" applyProtection="1">
      <alignment vertical="center"/>
      <protection locked="0"/>
    </xf>
    <xf numFmtId="176" fontId="3" fillId="0" borderId="0" xfId="1" applyNumberFormat="1" applyFont="1" applyProtection="1">
      <alignment vertical="center"/>
      <protection locked="0"/>
    </xf>
    <xf numFmtId="0" fontId="11" fillId="0" borderId="0" xfId="1" applyFont="1" applyAlignment="1" applyProtection="1">
      <alignment vertical="top" wrapText="1"/>
      <protection locked="0"/>
    </xf>
    <xf numFmtId="0" fontId="22" fillId="0" borderId="0" xfId="1" applyFont="1" applyAlignment="1" applyProtection="1">
      <alignment vertical="center" wrapText="1"/>
      <protection locked="0"/>
    </xf>
    <xf numFmtId="176" fontId="3" fillId="0" borderId="0" xfId="1" applyNumberFormat="1" applyFont="1" applyAlignment="1" applyProtection="1">
      <alignment horizontal="left" vertical="center"/>
      <protection locked="0"/>
    </xf>
    <xf numFmtId="0" fontId="3" fillId="0" borderId="0" xfId="1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6" fillId="0" borderId="0" xfId="0" applyFont="1" applyAlignment="1" applyProtection="1">
      <alignment horizontal="left" vertical="center"/>
      <protection locked="0"/>
    </xf>
    <xf numFmtId="180" fontId="3" fillId="0" borderId="2" xfId="1" applyNumberFormat="1" applyFont="1" applyBorder="1" applyAlignment="1" applyProtection="1">
      <alignment horizontal="center" vertical="center"/>
      <protection locked="0"/>
    </xf>
    <xf numFmtId="179" fontId="13" fillId="0" borderId="2" xfId="0" applyNumberFormat="1" applyFont="1" applyBorder="1" applyAlignment="1" applyProtection="1">
      <alignment horizontal="center" vertical="center"/>
      <protection locked="0"/>
    </xf>
    <xf numFmtId="0" fontId="19" fillId="0" borderId="2" xfId="0" applyFont="1" applyBorder="1" applyAlignment="1" applyProtection="1">
      <alignment horizontal="center" vertical="center"/>
      <protection locked="0"/>
    </xf>
    <xf numFmtId="177" fontId="11" fillId="0" borderId="2" xfId="1" applyNumberFormat="1" applyFont="1" applyBorder="1" applyAlignment="1" applyProtection="1">
      <alignment horizontal="centerContinuous" vertical="center"/>
      <protection locked="0"/>
    </xf>
    <xf numFmtId="0" fontId="7" fillId="0" borderId="0" xfId="0" applyFont="1" applyAlignment="1" applyProtection="1">
      <alignment horizontal="centerContinuous" vertical="center" wrapText="1"/>
      <protection locked="0"/>
    </xf>
    <xf numFmtId="0" fontId="8" fillId="0" borderId="0" xfId="0" applyFont="1" applyAlignment="1">
      <alignment horizontal="center" vertical="center"/>
    </xf>
    <xf numFmtId="181" fontId="10" fillId="0" borderId="7" xfId="0" applyNumberFormat="1" applyFont="1" applyBorder="1" applyProtection="1">
      <alignment vertical="center"/>
      <protection locked="0"/>
    </xf>
    <xf numFmtId="180" fontId="3" fillId="0" borderId="2" xfId="1" applyNumberFormat="1" applyFont="1" applyBorder="1" applyProtection="1">
      <alignment vertical="center"/>
      <protection locked="0"/>
    </xf>
    <xf numFmtId="179" fontId="19" fillId="0" borderId="2" xfId="0" applyNumberFormat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Protection="1">
      <alignment vertical="center"/>
      <protection locked="0"/>
    </xf>
    <xf numFmtId="0" fontId="18" fillId="0" borderId="2" xfId="1" applyFont="1" applyBorder="1" applyAlignment="1" applyProtection="1">
      <alignment horizontal="centerContinuous" vertical="center" shrinkToFit="1"/>
      <protection locked="0"/>
    </xf>
    <xf numFmtId="0" fontId="9" fillId="0" borderId="0" xfId="0" applyFont="1" applyAlignment="1">
      <alignment horizontal="centerContinuous" vertical="center" wrapText="1" readingOrder="1"/>
    </xf>
    <xf numFmtId="181" fontId="3" fillId="0" borderId="2" xfId="3" applyNumberFormat="1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horizontal="centerContinuous" vertical="center"/>
      <protection locked="0"/>
    </xf>
    <xf numFmtId="0" fontId="2" fillId="2" borderId="0" xfId="1" applyFont="1" applyFill="1" applyAlignment="1">
      <alignment horizontal="centerContinuous" vertical="center"/>
    </xf>
    <xf numFmtId="0" fontId="6" fillId="0" borderId="0" xfId="1" applyFont="1">
      <alignment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horizontal="centerContinuous" vertical="distributed" wrapText="1" readingOrder="1"/>
    </xf>
    <xf numFmtId="0" fontId="2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" vertical="center"/>
    </xf>
    <xf numFmtId="0" fontId="7" fillId="0" borderId="0" xfId="0" applyFont="1" applyAlignment="1">
      <alignment horizontal="centerContinuous" vertical="center" wrapText="1"/>
    </xf>
    <xf numFmtId="0" fontId="29" fillId="0" borderId="0" xfId="0" applyFont="1" applyAlignment="1">
      <alignment horizontal="centerContinuous" vertical="center" wrapText="1"/>
    </xf>
    <xf numFmtId="0" fontId="26" fillId="0" borderId="0" xfId="0" applyFont="1" applyAlignment="1">
      <alignment horizontal="centerContinuous" vertical="distributed" wrapText="1" readingOrder="1"/>
    </xf>
    <xf numFmtId="0" fontId="27" fillId="0" borderId="0" xfId="1" applyFont="1" applyAlignment="1">
      <alignment horizontal="centerContinuous" vertical="distributed"/>
    </xf>
    <xf numFmtId="0" fontId="28" fillId="0" borderId="0" xfId="1" applyFont="1" applyAlignment="1">
      <alignment horizontal="centerContinuous" vertical="distributed"/>
    </xf>
    <xf numFmtId="0" fontId="28" fillId="0" borderId="0" xfId="1" applyFont="1" applyAlignment="1">
      <alignment horizontal="center" vertical="center"/>
    </xf>
    <xf numFmtId="0" fontId="26" fillId="0" borderId="0" xfId="0" applyFont="1" applyAlignment="1">
      <alignment horizontal="centerContinuous" vertical="center" wrapText="1" readingOrder="1"/>
    </xf>
    <xf numFmtId="0" fontId="28" fillId="0" borderId="0" xfId="1" applyFont="1" applyAlignment="1">
      <alignment horizontal="centerContinuous" vertical="center"/>
    </xf>
    <xf numFmtId="0" fontId="29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readingOrder="1"/>
    </xf>
    <xf numFmtId="0" fontId="10" fillId="0" borderId="0" xfId="0" applyFont="1" applyAlignment="1">
      <alignment horizontal="centerContinuous" vertical="center" wrapText="1" readingOrder="1"/>
    </xf>
    <xf numFmtId="0" fontId="11" fillId="0" borderId="0" xfId="1" applyFont="1" applyAlignment="1">
      <alignment horizontal="centerContinuous" vertical="center"/>
    </xf>
    <xf numFmtId="0" fontId="11" fillId="0" borderId="0" xfId="1" applyFont="1">
      <alignment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1" fillId="0" borderId="1" xfId="1" applyFont="1" applyBorder="1">
      <alignment vertical="center"/>
    </xf>
    <xf numFmtId="0" fontId="15" fillId="0" borderId="1" xfId="1" applyFont="1" applyBorder="1">
      <alignment vertical="center"/>
    </xf>
    <xf numFmtId="0" fontId="1" fillId="0" borderId="1" xfId="1" applyBorder="1">
      <alignment vertical="center"/>
    </xf>
    <xf numFmtId="0" fontId="1" fillId="0" borderId="0" xfId="1">
      <alignment vertical="center"/>
    </xf>
    <xf numFmtId="0" fontId="3" fillId="2" borderId="2" xfId="1" applyFont="1" applyFill="1" applyBorder="1" applyAlignment="1">
      <alignment horizontal="centerContinuous" vertical="center"/>
    </xf>
    <xf numFmtId="0" fontId="3" fillId="2" borderId="3" xfId="1" applyFont="1" applyFill="1" applyBorder="1" applyAlignment="1">
      <alignment horizontal="centerContinuous" vertical="center"/>
    </xf>
    <xf numFmtId="0" fontId="3" fillId="2" borderId="4" xfId="1" applyFont="1" applyFill="1" applyBorder="1" applyAlignment="1">
      <alignment horizontal="centerContinuous" vertical="center"/>
    </xf>
    <xf numFmtId="0" fontId="3" fillId="0" borderId="0" xfId="1" applyFont="1">
      <alignment vertical="center"/>
    </xf>
    <xf numFmtId="176" fontId="2" fillId="0" borderId="2" xfId="1" applyNumberFormat="1" applyFont="1" applyBorder="1" applyAlignment="1">
      <alignment horizontal="centerContinuous" vertical="center"/>
    </xf>
    <xf numFmtId="176" fontId="2" fillId="0" borderId="3" xfId="1" applyNumberFormat="1" applyFont="1" applyBorder="1" applyAlignment="1">
      <alignment horizontal="centerContinuous" vertical="center"/>
    </xf>
    <xf numFmtId="176" fontId="2" fillId="0" borderId="4" xfId="1" applyNumberFormat="1" applyFont="1" applyBorder="1" applyAlignment="1">
      <alignment horizontal="centerContinuous" vertical="center"/>
    </xf>
    <xf numFmtId="0" fontId="11" fillId="0" borderId="3" xfId="1" applyFont="1" applyBorder="1" applyAlignment="1">
      <alignment horizontal="centerContinuous" vertical="center" shrinkToFit="1"/>
    </xf>
    <xf numFmtId="177" fontId="11" fillId="0" borderId="4" xfId="1" applyNumberFormat="1" applyFont="1" applyBorder="1" applyAlignment="1">
      <alignment horizontal="centerContinuous" vertical="center"/>
    </xf>
    <xf numFmtId="0" fontId="11" fillId="0" borderId="0" xfId="1" applyFont="1" applyAlignment="1">
      <alignment horizontal="center" vertical="center"/>
    </xf>
    <xf numFmtId="0" fontId="14" fillId="2" borderId="2" xfId="2" applyFont="1" applyFill="1" applyBorder="1">
      <alignment vertical="center"/>
    </xf>
    <xf numFmtId="0" fontId="14" fillId="2" borderId="4" xfId="2" applyFont="1" applyFill="1" applyBorder="1">
      <alignment vertical="center"/>
    </xf>
    <xf numFmtId="0" fontId="8" fillId="0" borderId="1" xfId="0" applyFont="1" applyBorder="1">
      <alignment vertical="center"/>
    </xf>
    <xf numFmtId="0" fontId="11" fillId="0" borderId="0" xfId="1" applyFont="1" applyAlignment="1">
      <alignment horizontal="left" vertical="center"/>
    </xf>
    <xf numFmtId="178" fontId="11" fillId="0" borderId="0" xfId="1" applyNumberFormat="1" applyFont="1">
      <alignment vertical="center"/>
    </xf>
    <xf numFmtId="0" fontId="11" fillId="0" borderId="0" xfId="1" applyFont="1" applyAlignment="1">
      <alignment horizontal="right" vertical="center"/>
    </xf>
    <xf numFmtId="179" fontId="3" fillId="2" borderId="2" xfId="1" applyNumberFormat="1" applyFont="1" applyFill="1" applyBorder="1" applyAlignment="1">
      <alignment horizontal="centerContinuous" vertical="center"/>
    </xf>
    <xf numFmtId="0" fontId="18" fillId="2" borderId="2" xfId="1" applyFont="1" applyFill="1" applyBorder="1" applyAlignment="1">
      <alignment horizontal="centerContinuous" vertical="center" wrapText="1"/>
    </xf>
    <xf numFmtId="0" fontId="3" fillId="2" borderId="7" xfId="1" applyFont="1" applyFill="1" applyBorder="1" applyAlignment="1">
      <alignment horizontal="centerContinuous" vertical="center"/>
    </xf>
    <xf numFmtId="0" fontId="18" fillId="0" borderId="3" xfId="1" applyFont="1" applyBorder="1" applyAlignment="1">
      <alignment horizontal="centerContinuous" vertical="center" shrinkToFit="1"/>
    </xf>
    <xf numFmtId="0" fontId="18" fillId="0" borderId="4" xfId="1" applyFont="1" applyBorder="1" applyAlignment="1">
      <alignment horizontal="centerContinuous" vertical="center" shrinkToFit="1"/>
    </xf>
    <xf numFmtId="181" fontId="10" fillId="0" borderId="7" xfId="0" applyNumberFormat="1" applyFont="1" applyBorder="1">
      <alignment vertical="center"/>
    </xf>
    <xf numFmtId="180" fontId="3" fillId="0" borderId="5" xfId="1" applyNumberFormat="1" applyFont="1" applyBorder="1">
      <alignment vertical="center"/>
    </xf>
    <xf numFmtId="179" fontId="3" fillId="0" borderId="5" xfId="1" applyNumberFormat="1" applyFont="1" applyBorder="1">
      <alignment vertical="center"/>
    </xf>
    <xf numFmtId="56" fontId="18" fillId="0" borderId="5" xfId="1" applyNumberFormat="1" applyFont="1" applyBorder="1" applyAlignment="1">
      <alignment vertical="center" shrinkToFit="1"/>
    </xf>
    <xf numFmtId="56" fontId="18" fillId="0" borderId="6" xfId="1" applyNumberFormat="1" applyFont="1" applyBorder="1" applyAlignment="1">
      <alignment vertical="center" shrinkToFit="1"/>
    </xf>
    <xf numFmtId="0" fontId="3" fillId="3" borderId="2" xfId="1" applyFont="1" applyFill="1" applyBorder="1" applyAlignment="1">
      <alignment horizontal="centerContinuous" vertical="center"/>
    </xf>
    <xf numFmtId="0" fontId="3" fillId="3" borderId="3" xfId="1" applyFont="1" applyFill="1" applyBorder="1" applyAlignment="1">
      <alignment horizontal="centerContinuous" vertical="center"/>
    </xf>
    <xf numFmtId="0" fontId="12" fillId="0" borderId="8" xfId="0" applyFont="1" applyBorder="1">
      <alignment vertical="center"/>
    </xf>
    <xf numFmtId="0" fontId="20" fillId="2" borderId="2" xfId="0" applyFont="1" applyFill="1" applyBorder="1" applyAlignment="1">
      <alignment horizontal="centerContinuous" vertical="center"/>
    </xf>
    <xf numFmtId="0" fontId="20" fillId="2" borderId="3" xfId="0" applyFont="1" applyFill="1" applyBorder="1" applyAlignment="1">
      <alignment horizontal="centerContinuous" vertical="center"/>
    </xf>
    <xf numFmtId="0" fontId="14" fillId="2" borderId="2" xfId="2" applyFont="1" applyFill="1" applyBorder="1" applyAlignment="1">
      <alignment horizontal="centerContinuous" vertical="center"/>
    </xf>
    <xf numFmtId="0" fontId="14" fillId="2" borderId="3" xfId="2" applyFont="1" applyFill="1" applyBorder="1" applyAlignment="1">
      <alignment horizontal="centerContinuous" vertical="center"/>
    </xf>
    <xf numFmtId="181" fontId="11" fillId="0" borderId="7" xfId="3" applyNumberFormat="1" applyFont="1" applyBorder="1" applyAlignment="1" applyProtection="1">
      <alignment vertical="center"/>
    </xf>
    <xf numFmtId="0" fontId="3" fillId="0" borderId="0" xfId="1" applyFont="1" applyAlignment="1">
      <alignment vertical="center" wrapText="1"/>
    </xf>
    <xf numFmtId="0" fontId="14" fillId="0" borderId="0" xfId="1" applyFont="1">
      <alignment vertical="center"/>
    </xf>
    <xf numFmtId="0" fontId="3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1" fillId="0" borderId="2" xfId="1" applyFont="1" applyBorder="1" applyAlignment="1" applyProtection="1">
      <alignment horizontal="centerContinuous" vertical="center" shrinkToFit="1"/>
      <protection locked="0"/>
    </xf>
    <xf numFmtId="0" fontId="3" fillId="0" borderId="0" xfId="1" applyFont="1" applyAlignment="1" applyProtection="1">
      <alignment vertical="center" wrapText="1"/>
      <protection locked="0"/>
    </xf>
    <xf numFmtId="0" fontId="3" fillId="0" borderId="0" xfId="1" applyFont="1" applyAlignment="1" applyProtection="1">
      <alignment horizontal="center" vertical="top" wrapText="1"/>
      <protection locked="0"/>
    </xf>
    <xf numFmtId="0" fontId="11" fillId="0" borderId="0" xfId="1" applyFont="1" applyProtection="1">
      <alignment vertical="center"/>
      <protection locked="0"/>
    </xf>
    <xf numFmtId="0" fontId="20" fillId="0" borderId="0" xfId="0" applyFont="1">
      <alignment vertical="center"/>
    </xf>
    <xf numFmtId="0" fontId="20" fillId="0" borderId="0" xfId="0" applyFont="1" applyProtection="1">
      <alignment vertical="center"/>
      <protection locked="0"/>
    </xf>
    <xf numFmtId="0" fontId="30" fillId="0" borderId="0" xfId="0" applyFont="1">
      <alignment vertical="center"/>
    </xf>
    <xf numFmtId="0" fontId="21" fillId="0" borderId="0" xfId="1" applyFont="1" applyProtection="1">
      <alignment vertical="center"/>
      <protection locked="0"/>
    </xf>
    <xf numFmtId="176" fontId="2" fillId="0" borderId="0" xfId="1" applyNumberFormat="1" applyFont="1" applyProtection="1">
      <alignment vertical="center"/>
      <protection locked="0"/>
    </xf>
    <xf numFmtId="0" fontId="10" fillId="0" borderId="0" xfId="0" applyFont="1">
      <alignment vertical="center"/>
    </xf>
    <xf numFmtId="0" fontId="14" fillId="0" borderId="0" xfId="1" applyFont="1" applyProtection="1">
      <alignment vertical="center"/>
      <protection locked="0"/>
    </xf>
    <xf numFmtId="178" fontId="14" fillId="0" borderId="0" xfId="1" applyNumberFormat="1" applyFont="1">
      <alignment vertical="center"/>
    </xf>
    <xf numFmtId="178" fontId="11" fillId="0" borderId="1" xfId="1" applyNumberFormat="1" applyFont="1" applyBorder="1" applyAlignment="1">
      <alignment horizontal="center" vertical="center"/>
    </xf>
    <xf numFmtId="0" fontId="15" fillId="0" borderId="1" xfId="1" applyFont="1" applyBorder="1" applyAlignment="1">
      <alignment horizontal="right" vertical="center"/>
    </xf>
  </cellXfs>
  <cellStyles count="4">
    <cellStyle name="桁区切り 2" xfId="3" xr:uid="{A8E0ED73-4157-4BA7-A404-B401983E4E51}"/>
    <cellStyle name="標準" xfId="0" builtinId="0"/>
    <cellStyle name="標準 2" xfId="2" xr:uid="{44ED1D23-806E-40C2-9814-B8A16991EA9E}"/>
    <cellStyle name="標準 9" xfId="1" xr:uid="{CBF6CAA7-4E5D-41DF-B58C-1C02695E7A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161926</xdr:colOff>
      <xdr:row>29</xdr:row>
      <xdr:rowOff>123825</xdr:rowOff>
    </xdr:from>
    <xdr:to>
      <xdr:col>14</xdr:col>
      <xdr:colOff>654666</xdr:colOff>
      <xdr:row>35</xdr:row>
      <xdr:rowOff>219075</xdr:rowOff>
    </xdr:to>
    <xdr:pic>
      <xdr:nvPicPr>
        <xdr:cNvPr id="7" name="図 2">
          <a:extLst>
            <a:ext uri="{FF2B5EF4-FFF2-40B4-BE49-F238E27FC236}">
              <a16:creationId xmlns:a16="http://schemas.microsoft.com/office/drawing/2014/main" id="{E5447493-4F43-4CFC-9558-E6A3E93C2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8209" b="93284" l="7937" r="93651">
                      <a14:foregroundMark x1="77778" y1="22388" x2="86508" y2="69403"/>
                      <a14:foregroundMark x1="86508" y1="69403" x2="89683" y2="76119"/>
                      <a14:foregroundMark x1="14286" y1="28358" x2="11905" y2="87313"/>
                      <a14:foregroundMark x1="50794" y1="40299" x2="47619" y2="41791"/>
                      <a14:foregroundMark x1="46032" y1="43284" x2="46032" y2="43284"/>
                      <a14:foregroundMark x1="48413" y1="45522" x2="48413" y2="45522"/>
                      <a14:foregroundMark x1="42063" y1="41791" x2="58730" y2="52239"/>
                      <a14:foregroundMark x1="9524" y1="57463" x2="8730" y2="18657"/>
                      <a14:foregroundMark x1="8730" y1="18657" x2="65873" y2="11940"/>
                      <a14:foregroundMark x1="9524" y1="11194" x2="63492" y2="11194"/>
                      <a14:foregroundMark x1="63492" y1="11194" x2="82540" y2="9701"/>
                      <a14:foregroundMark x1="80952" y1="8209" x2="92063" y2="14925"/>
                      <a14:foregroundMark x1="92063" y1="14925" x2="92063" y2="14925"/>
                      <a14:foregroundMark x1="92063" y1="10448" x2="92063" y2="10448"/>
                      <a14:foregroundMark x1="90476" y1="9701" x2="90476" y2="9701"/>
                      <a14:foregroundMark x1="92857" y1="17164" x2="92857" y2="28358"/>
                      <a14:foregroundMark x1="92063" y1="13433" x2="92063" y2="58209"/>
                      <a14:foregroundMark x1="92063" y1="58209" x2="73962" y2="87838"/>
                      <a14:foregroundMark x1="45238" y1="90299" x2="45238" y2="90299"/>
                      <a14:foregroundMark x1="73810" y1="91045" x2="73810" y2="91045"/>
                      <a14:foregroundMark x1="69048" y1="88806" x2="69048" y2="88806"/>
                      <a14:foregroundMark x1="84921" y1="91045" x2="84921" y2="91045"/>
                      <a14:foregroundMark x1="92857" y1="90299" x2="92857" y2="90299"/>
                      <a14:foregroundMark x1="69841" y1="89552" x2="69841" y2="89552"/>
                      <a14:foregroundMark x1="93651" y1="30597" x2="93651" y2="30597"/>
                      <a14:foregroundMark x1="93651" y1="34328" x2="93651" y2="34328"/>
                      <a14:foregroundMark x1="92857" y1="38060" x2="92857" y2="40299"/>
                      <a14:foregroundMark x1="92857" y1="41045" x2="92857" y2="41045"/>
                      <a14:foregroundMark x1="92857" y1="45522" x2="92857" y2="46269"/>
                      <a14:foregroundMark x1="92857" y1="47015" x2="92857" y2="50000"/>
                      <a14:foregroundMark x1="92857" y1="51493" x2="92857" y2="51493"/>
                      <a14:foregroundMark x1="92857" y1="52239" x2="92857" y2="52239"/>
                      <a14:foregroundMark x1="92857" y1="57463" x2="92857" y2="57463"/>
                      <a14:foregroundMark x1="91270" y1="61940" x2="91270" y2="63433"/>
                      <a14:foregroundMark x1="91270" y1="64925" x2="91270" y2="64925"/>
                      <a14:foregroundMark x1="92857" y1="64179" x2="92857" y2="64179"/>
                      <a14:foregroundMark x1="93651" y1="68657" x2="93651" y2="68657"/>
                      <a14:foregroundMark x1="93651" y1="71642" x2="93651" y2="71642"/>
                      <a14:foregroundMark x1="93651" y1="73881" x2="93651" y2="73881"/>
                      <a14:backgroundMark x1="68254" y1="96269" x2="70635" y2="96269"/>
                      <a14:backgroundMark x1="69048" y1="94776" x2="69048" y2="94776"/>
                      <a14:backgroundMark x1="70635" y1="94030" x2="70635" y2="94030"/>
                      <a14:backgroundMark x1="69048" y1="91045" x2="69048" y2="96269"/>
                      <a14:backgroundMark x1="69048" y1="90299" x2="69048" y2="9104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14951" y="8172450"/>
          <a:ext cx="1083290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27B9-BD95-4ABA-B042-840D358F92C7}">
  <sheetPr>
    <pageSetUpPr fitToPage="1"/>
  </sheetPr>
  <dimension ref="A1:AG48"/>
  <sheetViews>
    <sheetView tabSelected="1" topLeftCell="A14" workbookViewId="0">
      <selection activeCell="L21" sqref="L21"/>
    </sheetView>
  </sheetViews>
  <sheetFormatPr defaultRowHeight="13.5"/>
  <cols>
    <col min="1" max="2" width="6.25" style="1" customWidth="1"/>
    <col min="3" max="3" width="7.125" style="1" customWidth="1"/>
    <col min="4" max="5" width="3.375" style="1" customWidth="1"/>
    <col min="6" max="6" width="3" style="1" customWidth="1"/>
    <col min="7" max="7" width="2.875" style="1" customWidth="1"/>
    <col min="8" max="8" width="8.125" style="1" customWidth="1"/>
    <col min="9" max="10" width="3.375" style="1" customWidth="1"/>
    <col min="11" max="11" width="5.25" style="1" customWidth="1"/>
    <col min="12" max="12" width="7.5" style="1" bestFit="1" customWidth="1"/>
    <col min="13" max="14" width="7.75" style="1" customWidth="1"/>
    <col min="15" max="15" width="11.75" style="1" customWidth="1"/>
    <col min="16" max="16384" width="9" style="1"/>
  </cols>
  <sheetData>
    <row r="1" spans="1:20" ht="29.25" customHeight="1">
      <c r="A1" s="29" t="s">
        <v>0</v>
      </c>
      <c r="B1" s="29"/>
      <c r="C1" s="29"/>
      <c r="D1" s="29"/>
      <c r="E1" s="29"/>
      <c r="F1" s="30"/>
      <c r="G1" s="30"/>
      <c r="H1" s="30"/>
      <c r="I1" s="31"/>
      <c r="J1" s="31"/>
      <c r="K1" s="31"/>
      <c r="L1" s="31"/>
      <c r="M1" s="31"/>
      <c r="N1" s="31"/>
      <c r="O1" s="31"/>
    </row>
    <row r="2" spans="1:20" ht="49.5" customHeight="1">
      <c r="A2" s="32"/>
      <c r="B2" s="33"/>
      <c r="C2" s="33"/>
      <c r="D2" s="33"/>
      <c r="E2" s="33"/>
      <c r="F2" s="33"/>
      <c r="G2" s="34"/>
      <c r="H2" s="35"/>
      <c r="I2" s="17" t="s">
        <v>22</v>
      </c>
      <c r="J2" s="37"/>
      <c r="K2" s="37"/>
      <c r="L2" s="37"/>
      <c r="M2" s="37"/>
      <c r="N2" s="37"/>
      <c r="O2" s="37"/>
      <c r="P2" s="18"/>
    </row>
    <row r="3" spans="1:20" ht="21.75" customHeight="1">
      <c r="A3" s="38" t="s">
        <v>29</v>
      </c>
      <c r="B3" s="39"/>
      <c r="C3" s="39"/>
      <c r="D3" s="39"/>
      <c r="E3" s="39"/>
      <c r="F3" s="39"/>
      <c r="G3" s="40"/>
      <c r="H3" s="41"/>
      <c r="I3" s="36"/>
      <c r="J3" s="37"/>
      <c r="K3" s="37"/>
      <c r="L3" s="37"/>
      <c r="M3" s="37"/>
      <c r="N3" s="37"/>
      <c r="O3" s="37"/>
      <c r="P3" s="18"/>
    </row>
    <row r="4" spans="1:20" ht="14.25" customHeight="1">
      <c r="A4" s="38" t="s">
        <v>28</v>
      </c>
      <c r="B4" s="39"/>
      <c r="C4" s="39"/>
      <c r="D4" s="39"/>
      <c r="E4" s="39"/>
      <c r="F4" s="39"/>
      <c r="G4" s="40"/>
      <c r="H4" s="41"/>
      <c r="I4" s="36"/>
      <c r="J4" s="37"/>
      <c r="K4" s="37"/>
      <c r="L4" s="37"/>
      <c r="M4" s="37"/>
      <c r="N4" s="37"/>
      <c r="O4" s="37"/>
      <c r="P4" s="18"/>
    </row>
    <row r="5" spans="1:20" ht="41.25" customHeight="1">
      <c r="A5" s="42" t="s">
        <v>31</v>
      </c>
      <c r="B5" s="43"/>
      <c r="C5" s="43"/>
      <c r="D5" s="43"/>
      <c r="E5" s="43"/>
      <c r="F5" s="43"/>
      <c r="G5" s="43"/>
      <c r="H5" s="41"/>
      <c r="I5" s="28" t="s">
        <v>23</v>
      </c>
      <c r="J5" s="44"/>
      <c r="K5" s="44"/>
      <c r="L5" s="44"/>
      <c r="M5" s="45" t="s">
        <v>30</v>
      </c>
      <c r="N5" s="45">
        <f>I13</f>
        <v>6</v>
      </c>
      <c r="O5" s="46" t="s">
        <v>1</v>
      </c>
      <c r="T5" s="26"/>
    </row>
    <row r="6" spans="1:20" ht="14.25" customHeight="1">
      <c r="A6" s="47"/>
      <c r="B6" s="48"/>
      <c r="C6" s="48"/>
      <c r="D6" s="48"/>
      <c r="E6" s="48"/>
      <c r="F6" s="48"/>
      <c r="G6" s="49"/>
      <c r="H6" s="50"/>
      <c r="I6" s="51"/>
      <c r="J6" s="51"/>
      <c r="K6" s="51"/>
      <c r="L6" s="51"/>
      <c r="M6" s="51"/>
      <c r="N6" s="52"/>
      <c r="O6" s="53"/>
    </row>
    <row r="7" spans="1:20" ht="14.25" customHeight="1">
      <c r="A7" s="54"/>
      <c r="B7" s="54"/>
      <c r="C7" s="54"/>
      <c r="D7" s="54"/>
      <c r="E7" s="54"/>
      <c r="F7" s="54"/>
      <c r="G7" s="54"/>
      <c r="H7" s="54"/>
      <c r="I7" s="55"/>
      <c r="J7" s="56"/>
      <c r="K7" s="56"/>
      <c r="L7" s="56"/>
      <c r="M7" s="109"/>
      <c r="N7" s="109"/>
      <c r="O7" s="109"/>
    </row>
    <row r="8" spans="1:20" ht="9.75" customHeight="1">
      <c r="A8" s="50"/>
      <c r="B8" s="50"/>
      <c r="C8" s="50"/>
      <c r="D8" s="50"/>
      <c r="E8" s="50"/>
      <c r="F8" s="50"/>
      <c r="G8" s="50"/>
      <c r="H8" s="50"/>
      <c r="I8" s="57"/>
      <c r="J8" s="57"/>
      <c r="K8" s="57"/>
      <c r="L8" s="57"/>
      <c r="M8" s="57"/>
      <c r="N8" s="57"/>
      <c r="O8" s="57"/>
    </row>
    <row r="9" spans="1:20" ht="9" customHeight="1">
      <c r="A9" s="50"/>
      <c r="B9" s="50"/>
      <c r="C9" s="50"/>
      <c r="D9" s="50"/>
      <c r="E9" s="50"/>
      <c r="F9" s="50"/>
      <c r="G9" s="50"/>
      <c r="H9" s="50"/>
      <c r="I9" s="57"/>
      <c r="J9" s="57"/>
      <c r="K9" s="57"/>
      <c r="L9" s="57"/>
      <c r="M9" s="57"/>
      <c r="N9" s="57"/>
      <c r="O9" s="56"/>
    </row>
    <row r="10" spans="1:20" ht="18.75" customHeight="1">
      <c r="A10" s="58" t="s">
        <v>2</v>
      </c>
      <c r="B10" s="59"/>
      <c r="C10" s="59"/>
      <c r="D10" s="59"/>
      <c r="E10" s="59"/>
      <c r="F10" s="60"/>
      <c r="G10" s="61"/>
      <c r="H10" s="61"/>
      <c r="I10" s="58" t="s">
        <v>3</v>
      </c>
      <c r="J10" s="59"/>
      <c r="K10" s="59"/>
      <c r="L10" s="59"/>
      <c r="M10" s="59"/>
      <c r="N10" s="58" t="s">
        <v>4</v>
      </c>
      <c r="O10" s="60"/>
    </row>
    <row r="11" spans="1:20" s="2" customFormat="1" ht="27" customHeight="1">
      <c r="A11" s="62">
        <f>O29</f>
        <v>20230</v>
      </c>
      <c r="B11" s="63"/>
      <c r="C11" s="63"/>
      <c r="D11" s="63"/>
      <c r="E11" s="63"/>
      <c r="F11" s="64"/>
      <c r="G11" s="50"/>
      <c r="H11" s="50"/>
      <c r="I11" s="96" t="str">
        <f>I5</f>
        <v>齋藤俊子</v>
      </c>
      <c r="J11" s="65"/>
      <c r="K11" s="65"/>
      <c r="L11" s="65"/>
      <c r="M11" s="65"/>
      <c r="N11" s="16">
        <v>46204</v>
      </c>
      <c r="O11" s="66"/>
    </row>
    <row r="12" spans="1:20" ht="10.5" customHeight="1">
      <c r="A12" s="50"/>
      <c r="B12" s="50"/>
      <c r="C12" s="50"/>
      <c r="D12" s="67"/>
      <c r="E12" s="67"/>
      <c r="F12" s="67"/>
      <c r="G12" s="50"/>
      <c r="H12" s="50"/>
      <c r="I12" s="50"/>
      <c r="J12" s="50"/>
      <c r="K12" s="50"/>
      <c r="L12" s="50"/>
      <c r="M12" s="50"/>
      <c r="N12" s="67"/>
      <c r="O12" s="61"/>
    </row>
    <row r="13" spans="1:20" ht="18.75" customHeight="1">
      <c r="A13" s="68" t="s">
        <v>5</v>
      </c>
      <c r="B13" s="69"/>
      <c r="D13" s="70"/>
      <c r="E13" s="108" t="s">
        <v>6</v>
      </c>
      <c r="F13" s="108"/>
      <c r="G13" s="3">
        <v>8</v>
      </c>
      <c r="H13" s="71" t="s">
        <v>7</v>
      </c>
      <c r="I13" s="3">
        <v>6</v>
      </c>
      <c r="J13" s="72" t="s">
        <v>8</v>
      </c>
      <c r="K13" s="54" t="s">
        <v>9</v>
      </c>
      <c r="L13" s="54"/>
      <c r="M13" s="54"/>
      <c r="N13" s="73"/>
      <c r="O13" s="50"/>
    </row>
    <row r="14" spans="1:20" ht="21.75" customHeight="1">
      <c r="A14" s="58" t="s">
        <v>10</v>
      </c>
      <c r="B14" s="74" t="s">
        <v>11</v>
      </c>
      <c r="C14" s="74" t="s">
        <v>12</v>
      </c>
      <c r="D14" s="58" t="s">
        <v>13</v>
      </c>
      <c r="E14" s="59"/>
      <c r="F14" s="59"/>
      <c r="G14" s="59"/>
      <c r="H14" s="59"/>
      <c r="I14" s="59"/>
      <c r="J14" s="59"/>
      <c r="K14" s="60"/>
      <c r="L14" s="58" t="s">
        <v>14</v>
      </c>
      <c r="M14" s="58" t="s">
        <v>15</v>
      </c>
      <c r="N14" s="75" t="s">
        <v>16</v>
      </c>
      <c r="O14" s="76" t="s">
        <v>17</v>
      </c>
    </row>
    <row r="15" spans="1:20" s="2" customFormat="1" ht="21" customHeight="1">
      <c r="A15" s="13">
        <v>46174</v>
      </c>
      <c r="B15" s="14"/>
      <c r="C15" s="14"/>
      <c r="D15" s="25" t="s">
        <v>25</v>
      </c>
      <c r="E15" s="77"/>
      <c r="F15" s="77"/>
      <c r="G15" s="77"/>
      <c r="H15" s="77"/>
      <c r="I15" s="77"/>
      <c r="J15" s="77"/>
      <c r="K15" s="78"/>
      <c r="L15" s="21" t="str">
        <f>IF(C15-B15=0, "", C15-B15)</f>
        <v/>
      </c>
      <c r="M15" s="15"/>
      <c r="N15" s="27"/>
      <c r="O15" s="19">
        <v>1900</v>
      </c>
    </row>
    <row r="16" spans="1:20" ht="21" customHeight="1">
      <c r="A16" s="13">
        <v>46175</v>
      </c>
      <c r="B16" s="14"/>
      <c r="C16" s="14"/>
      <c r="D16" s="25" t="s">
        <v>26</v>
      </c>
      <c r="E16" s="77"/>
      <c r="F16" s="77"/>
      <c r="G16" s="77"/>
      <c r="H16" s="77"/>
      <c r="I16" s="77"/>
      <c r="J16" s="77"/>
      <c r="K16" s="78"/>
      <c r="L16" s="21" t="str">
        <f t="shared" ref="L16:L24" si="0">IF(C16-B16=0, "", C16-B16)</f>
        <v/>
      </c>
      <c r="M16" s="15"/>
      <c r="N16" s="27"/>
      <c r="O16" s="19">
        <v>12500</v>
      </c>
    </row>
    <row r="17" spans="1:25" ht="21" customHeight="1">
      <c r="A17" s="13"/>
      <c r="B17" s="14"/>
      <c r="C17" s="14"/>
      <c r="D17" s="25" t="s">
        <v>27</v>
      </c>
      <c r="E17" s="77"/>
      <c r="F17" s="77"/>
      <c r="G17" s="77"/>
      <c r="H17" s="77"/>
      <c r="I17" s="77"/>
      <c r="J17" s="77"/>
      <c r="K17" s="78"/>
      <c r="L17" s="21" t="str">
        <f t="shared" si="0"/>
        <v/>
      </c>
      <c r="M17" s="15"/>
      <c r="N17" s="27"/>
      <c r="O17" s="19">
        <v>1360</v>
      </c>
    </row>
    <row r="18" spans="1:25" ht="21" customHeight="1">
      <c r="A18" s="13"/>
      <c r="B18" s="14"/>
      <c r="C18" s="14"/>
      <c r="D18" s="25"/>
      <c r="E18" s="77"/>
      <c r="F18" s="77"/>
      <c r="G18" s="77"/>
      <c r="H18" s="77"/>
      <c r="I18" s="77"/>
      <c r="J18" s="77"/>
      <c r="K18" s="78"/>
      <c r="L18" s="21" t="str">
        <f t="shared" si="0"/>
        <v/>
      </c>
      <c r="M18" s="15"/>
      <c r="N18" s="27"/>
      <c r="O18" s="19"/>
    </row>
    <row r="19" spans="1:25" ht="21" customHeight="1">
      <c r="A19" s="13"/>
      <c r="B19" s="14"/>
      <c r="C19" s="14"/>
      <c r="D19" s="25"/>
      <c r="E19" s="77"/>
      <c r="F19" s="77"/>
      <c r="G19" s="77"/>
      <c r="H19" s="77"/>
      <c r="I19" s="77"/>
      <c r="J19" s="77"/>
      <c r="K19" s="78"/>
      <c r="L19" s="21" t="str">
        <f t="shared" si="0"/>
        <v/>
      </c>
      <c r="M19" s="15"/>
      <c r="N19" s="27"/>
      <c r="O19" s="19"/>
    </row>
    <row r="20" spans="1:25" ht="21" customHeight="1">
      <c r="A20" s="13"/>
      <c r="B20" s="14"/>
      <c r="C20" s="14"/>
      <c r="D20" s="25"/>
      <c r="E20" s="77"/>
      <c r="F20" s="77"/>
      <c r="G20" s="77"/>
      <c r="H20" s="77"/>
      <c r="I20" s="77"/>
      <c r="J20" s="77"/>
      <c r="K20" s="78"/>
      <c r="L20" s="21" t="str">
        <f t="shared" si="0"/>
        <v/>
      </c>
      <c r="M20" s="15"/>
      <c r="N20" s="27"/>
      <c r="O20" s="19"/>
    </row>
    <row r="21" spans="1:25" ht="21" customHeight="1">
      <c r="A21" s="13"/>
      <c r="B21" s="14"/>
      <c r="C21" s="14"/>
      <c r="D21" s="25"/>
      <c r="E21" s="77"/>
      <c r="F21" s="77"/>
      <c r="G21" s="77"/>
      <c r="H21" s="77"/>
      <c r="I21" s="77"/>
      <c r="J21" s="77"/>
      <c r="K21" s="78"/>
      <c r="L21" s="21" t="str">
        <f t="shared" si="0"/>
        <v/>
      </c>
      <c r="M21" s="15"/>
      <c r="N21" s="27"/>
      <c r="O21" s="19"/>
    </row>
    <row r="22" spans="1:25" ht="21" customHeight="1">
      <c r="A22" s="13"/>
      <c r="B22" s="14"/>
      <c r="C22" s="14"/>
      <c r="D22" s="25"/>
      <c r="E22" s="77"/>
      <c r="F22" s="77"/>
      <c r="G22" s="77"/>
      <c r="H22" s="77"/>
      <c r="I22" s="77"/>
      <c r="J22" s="77"/>
      <c r="K22" s="78"/>
      <c r="L22" s="21" t="str">
        <f t="shared" si="0"/>
        <v/>
      </c>
      <c r="M22" s="15"/>
      <c r="N22" s="27"/>
      <c r="O22" s="19"/>
    </row>
    <row r="23" spans="1:25" ht="21" customHeight="1">
      <c r="A23" s="13"/>
      <c r="B23" s="14"/>
      <c r="C23" s="14"/>
      <c r="D23" s="25"/>
      <c r="E23" s="77"/>
      <c r="F23" s="77"/>
      <c r="G23" s="77"/>
      <c r="H23" s="77"/>
      <c r="I23" s="77"/>
      <c r="J23" s="77"/>
      <c r="K23" s="78"/>
      <c r="L23" s="21" t="str">
        <f t="shared" si="0"/>
        <v/>
      </c>
      <c r="M23" s="15"/>
      <c r="N23" s="27"/>
      <c r="O23" s="19"/>
    </row>
    <row r="24" spans="1:25" ht="21" customHeight="1">
      <c r="A24" s="13"/>
      <c r="B24" s="23"/>
      <c r="C24" s="23"/>
      <c r="D24" s="25"/>
      <c r="E24" s="77"/>
      <c r="F24" s="77"/>
      <c r="G24" s="77"/>
      <c r="H24" s="77"/>
      <c r="I24" s="77"/>
      <c r="J24" s="77"/>
      <c r="K24" s="78"/>
      <c r="L24" s="21" t="str">
        <f t="shared" si="0"/>
        <v/>
      </c>
      <c r="M24" s="22"/>
      <c r="N24" s="27"/>
      <c r="O24" s="19"/>
    </row>
    <row r="25" spans="1:25" ht="21" customHeight="1">
      <c r="A25" s="13"/>
      <c r="B25" s="23"/>
      <c r="C25" s="23"/>
      <c r="D25" s="25" t="s">
        <v>24</v>
      </c>
      <c r="E25" s="77"/>
      <c r="F25" s="77"/>
      <c r="G25" s="77"/>
      <c r="H25" s="77"/>
      <c r="I25" s="77"/>
      <c r="J25" s="77"/>
      <c r="K25" s="78"/>
      <c r="L25" s="22">
        <v>1</v>
      </c>
      <c r="M25" s="22"/>
      <c r="N25" s="27"/>
      <c r="O25" s="19">
        <f>470*L25</f>
        <v>470</v>
      </c>
    </row>
    <row r="26" spans="1:25" ht="21" customHeight="1">
      <c r="A26" s="20"/>
      <c r="B26" s="24"/>
      <c r="C26" s="24"/>
      <c r="D26" s="25" t="s">
        <v>21</v>
      </c>
      <c r="E26" s="77"/>
      <c r="F26" s="77"/>
      <c r="G26" s="77"/>
      <c r="H26" s="77"/>
      <c r="I26" s="77"/>
      <c r="J26" s="77"/>
      <c r="K26" s="78"/>
      <c r="L26" s="22"/>
      <c r="M26" s="22"/>
      <c r="N26" s="27"/>
      <c r="O26" s="19">
        <v>4000</v>
      </c>
    </row>
    <row r="27" spans="1:25" ht="21" customHeight="1">
      <c r="A27" s="80"/>
      <c r="B27" s="81"/>
      <c r="C27" s="81"/>
      <c r="D27" s="82"/>
      <c r="E27" s="82"/>
      <c r="F27" s="82"/>
      <c r="G27" s="82"/>
      <c r="H27" s="82"/>
      <c r="I27" s="82"/>
      <c r="J27" s="82"/>
      <c r="K27" s="83"/>
      <c r="L27" s="84" t="s">
        <v>18</v>
      </c>
      <c r="M27" s="85"/>
      <c r="N27" s="85"/>
      <c r="O27" s="79">
        <f>O29-O28</f>
        <v>18870</v>
      </c>
    </row>
    <row r="28" spans="1:25" ht="21" customHeight="1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86"/>
      <c r="L28" s="87" t="s">
        <v>19</v>
      </c>
      <c r="M28" s="88"/>
      <c r="N28" s="88"/>
      <c r="O28" s="79">
        <f>O17+O24</f>
        <v>1360</v>
      </c>
    </row>
    <row r="29" spans="1:25" ht="21" customHeight="1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86"/>
      <c r="L29" s="89" t="s">
        <v>20</v>
      </c>
      <c r="M29" s="90"/>
      <c r="N29" s="90"/>
      <c r="O29" s="91">
        <f>SUM(O15:O26)</f>
        <v>20230</v>
      </c>
    </row>
    <row r="30" spans="1:25" ht="13.5" customHeight="1">
      <c r="A30" s="92"/>
      <c r="B30" s="92"/>
      <c r="C30" s="92"/>
      <c r="D30" s="92"/>
      <c r="E30" s="92"/>
      <c r="F30" s="92"/>
      <c r="G30" s="5" t="s">
        <v>32</v>
      </c>
      <c r="H30" s="92"/>
      <c r="I30" s="92"/>
      <c r="J30" s="92"/>
      <c r="O30" s="92"/>
      <c r="P30" s="92"/>
      <c r="Q30" s="92"/>
      <c r="R30" s="92"/>
      <c r="S30" s="92"/>
      <c r="T30" s="92"/>
      <c r="U30" s="92"/>
      <c r="V30" s="92"/>
      <c r="W30" s="95"/>
      <c r="X30" s="95"/>
      <c r="Y30" s="95"/>
    </row>
    <row r="31" spans="1:25" ht="13.5" customHeight="1">
      <c r="A31" s="93"/>
      <c r="B31" s="93"/>
      <c r="C31" s="93"/>
      <c r="D31" s="103"/>
      <c r="E31" s="92"/>
      <c r="F31" s="92"/>
      <c r="G31" s="92"/>
      <c r="H31" s="94"/>
      <c r="I31" s="94"/>
      <c r="J31" s="94"/>
    </row>
    <row r="32" spans="1:25" ht="14.25" customHeight="1">
      <c r="A32" s="61"/>
      <c r="B32" s="61"/>
      <c r="C32" s="61"/>
      <c r="D32" s="61"/>
      <c r="E32" s="61"/>
      <c r="F32" s="61"/>
      <c r="G32" s="61"/>
      <c r="H32" s="5" t="s">
        <v>33</v>
      </c>
      <c r="I32" s="5"/>
      <c r="J32" s="6"/>
      <c r="O32" s="97"/>
      <c r="Q32" s="97"/>
      <c r="R32" s="97"/>
      <c r="S32" s="97"/>
      <c r="T32" s="97"/>
      <c r="U32" s="97"/>
      <c r="V32" s="97"/>
      <c r="W32" s="98"/>
      <c r="X32" s="98"/>
      <c r="Y32" s="98"/>
    </row>
    <row r="33" spans="1:33" ht="14.25" customHeight="1">
      <c r="A33" s="61"/>
      <c r="B33" s="61"/>
      <c r="C33" s="61"/>
      <c r="D33" s="61"/>
      <c r="E33" s="61"/>
      <c r="F33" s="61"/>
      <c r="G33" s="61"/>
      <c r="H33" s="99"/>
      <c r="I33" s="99"/>
      <c r="J33" s="6"/>
      <c r="N33" s="6"/>
      <c r="O33" s="6"/>
      <c r="P33" s="6"/>
      <c r="Q33" s="6"/>
      <c r="R33" s="6"/>
      <c r="S33" s="6"/>
      <c r="T33" s="6"/>
      <c r="U33" s="6"/>
      <c r="V33" s="7"/>
      <c r="W33" s="8"/>
      <c r="X33" s="8"/>
      <c r="Y33" s="8"/>
    </row>
    <row r="34" spans="1:33" ht="13.5" customHeight="1">
      <c r="A34" s="104"/>
      <c r="B34" s="104"/>
      <c r="C34" s="104"/>
      <c r="D34" s="104"/>
      <c r="E34" s="104"/>
      <c r="F34" s="104"/>
      <c r="G34" s="104"/>
      <c r="H34" s="11" t="s">
        <v>34</v>
      </c>
      <c r="I34" s="11"/>
      <c r="J34" s="6"/>
      <c r="O34" s="6"/>
      <c r="P34" s="11"/>
      <c r="Q34" s="6"/>
      <c r="R34" s="6"/>
      <c r="S34" s="6"/>
      <c r="T34" s="6"/>
      <c r="U34" s="6"/>
      <c r="V34" s="7"/>
      <c r="W34" s="8"/>
      <c r="X34" s="8"/>
      <c r="Y34" s="8"/>
    </row>
    <row r="35" spans="1:33" ht="13.5" customHeight="1">
      <c r="A35" s="104"/>
      <c r="B35" s="104"/>
      <c r="C35" s="104"/>
      <c r="D35" s="104"/>
      <c r="E35" s="104"/>
      <c r="F35" s="100" t="s">
        <v>35</v>
      </c>
      <c r="G35" s="104"/>
      <c r="H35" s="100"/>
      <c r="I35" s="100" t="s">
        <v>36</v>
      </c>
      <c r="J35" s="100"/>
      <c r="N35" s="12"/>
      <c r="O35" s="9"/>
      <c r="Q35" s="9"/>
      <c r="R35" s="9"/>
      <c r="S35" s="9"/>
      <c r="T35" s="9"/>
      <c r="U35" s="9"/>
      <c r="V35" s="7"/>
      <c r="W35" s="8"/>
      <c r="X35" s="8"/>
      <c r="Y35" s="8"/>
    </row>
    <row r="36" spans="1:33" ht="27" customHeight="1">
      <c r="A36" s="105"/>
      <c r="B36" s="102" t="s">
        <v>37</v>
      </c>
      <c r="C36" s="102"/>
      <c r="F36" s="106"/>
      <c r="G36" s="93"/>
      <c r="H36" s="107"/>
      <c r="I36" s="107"/>
      <c r="J36" s="107"/>
      <c r="K36" s="101"/>
      <c r="L36" s="10"/>
      <c r="M36" s="6"/>
      <c r="N36" s="4"/>
      <c r="O36" s="4"/>
      <c r="P36" s="4"/>
      <c r="Q36" s="4"/>
      <c r="R36" s="4"/>
      <c r="S36" s="4"/>
      <c r="T36" s="4"/>
      <c r="U36" s="4"/>
      <c r="V36" s="101"/>
      <c r="W36" s="8"/>
      <c r="X36" s="8"/>
      <c r="Y36" s="8"/>
      <c r="AA36" s="6"/>
      <c r="AB36" s="6"/>
      <c r="AC36" s="6"/>
      <c r="AD36" s="6"/>
      <c r="AE36" s="7"/>
      <c r="AF36" s="8"/>
      <c r="AG36" s="8"/>
    </row>
    <row r="37" spans="1:33" ht="13.5" customHeight="1">
      <c r="B37" s="102" t="s">
        <v>38</v>
      </c>
      <c r="C37" s="102"/>
      <c r="K37" s="102" t="s">
        <v>39</v>
      </c>
      <c r="L37" s="102"/>
      <c r="M37" s="102"/>
      <c r="S37" s="100"/>
      <c r="T37" s="100"/>
      <c r="U37" s="100"/>
      <c r="V37" s="100"/>
      <c r="W37" s="100"/>
      <c r="X37" s="100"/>
      <c r="Y37" s="102"/>
      <c r="AA37" s="6"/>
      <c r="AB37" s="6"/>
      <c r="AC37" s="6"/>
      <c r="AD37" s="6"/>
      <c r="AE37" s="7"/>
      <c r="AF37" s="8"/>
      <c r="AG37" s="8"/>
    </row>
    <row r="38" spans="1:33" ht="15" customHeight="1">
      <c r="B38" s="102" t="s">
        <v>40</v>
      </c>
      <c r="C38" s="102"/>
      <c r="D38" s="102"/>
      <c r="E38" s="102"/>
      <c r="K38" s="102" t="s">
        <v>41</v>
      </c>
      <c r="L38" s="102"/>
      <c r="M38" s="102"/>
      <c r="AA38" s="9"/>
      <c r="AB38" s="9"/>
      <c r="AC38" s="9"/>
      <c r="AD38" s="9"/>
      <c r="AE38" s="7"/>
      <c r="AF38" s="8"/>
      <c r="AG38" s="8"/>
    </row>
    <row r="39" spans="1:33" ht="13.5" customHeight="1">
      <c r="B39" s="102" t="s">
        <v>42</v>
      </c>
      <c r="C39" s="102"/>
      <c r="D39" s="102"/>
      <c r="E39" s="102"/>
      <c r="K39" s="102" t="s">
        <v>43</v>
      </c>
      <c r="L39" s="102"/>
      <c r="M39" s="102"/>
      <c r="AA39" s="12"/>
      <c r="AB39" s="12"/>
      <c r="AC39" s="12"/>
      <c r="AD39" s="12"/>
      <c r="AE39" s="7"/>
      <c r="AF39" s="8"/>
      <c r="AG39" s="8"/>
    </row>
    <row r="40" spans="1:33">
      <c r="A40" s="102"/>
      <c r="B40" s="102" t="s">
        <v>44</v>
      </c>
      <c r="C40" s="102"/>
      <c r="D40" s="102"/>
      <c r="E40" s="102"/>
      <c r="F40" s="102"/>
      <c r="G40" s="102"/>
      <c r="H40" s="102"/>
      <c r="I40" s="102"/>
      <c r="J40" s="102"/>
      <c r="K40" s="102" t="s">
        <v>45</v>
      </c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</row>
    <row r="41" spans="1:33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</row>
    <row r="42" spans="1:33">
      <c r="A42" s="102"/>
      <c r="B42" s="102" t="s">
        <v>46</v>
      </c>
      <c r="C42" s="102" t="s">
        <v>47</v>
      </c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</row>
    <row r="43" spans="1:33">
      <c r="A43" s="102"/>
      <c r="B43" s="102"/>
      <c r="C43" s="102" t="s">
        <v>48</v>
      </c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</row>
    <row r="44" spans="1:33">
      <c r="A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</row>
    <row r="45" spans="1:33">
      <c r="A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</row>
    <row r="46" spans="1:33"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</row>
    <row r="47" spans="1:33"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</row>
    <row r="48" spans="1:33"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</row>
  </sheetData>
  <sheetProtection sheet="1" formatCells="0" formatColumns="0" formatRows="0" selectLockedCells="1"/>
  <mergeCells count="2">
    <mergeCell ref="E13:F13"/>
    <mergeCell ref="M7:O7"/>
  </mergeCells>
  <phoneticPr fontId="4"/>
  <dataValidations count="3">
    <dataValidation type="list" allowBlank="1" showInputMessage="1" showErrorMessage="1" sqref="A31:B31" xr:uid="{28AF7F55-7550-45E1-A50E-D2372FD2199A}">
      <formula1>"前月分,当月分"</formula1>
    </dataValidation>
    <dataValidation imeMode="off" allowBlank="1" showInputMessage="1" showErrorMessage="1" sqref="B15:C23" xr:uid="{1EB02C9F-A03F-4F2D-8EE1-41B9A8D07961}"/>
    <dataValidation type="list" allowBlank="1" showInputMessage="1" showErrorMessage="1" sqref="D31" xr:uid="{F3B04F1C-94B8-4444-8050-641C3C094DEC}">
      <formula1>"   ,集金,口座振替,振込"</formula1>
    </dataValidation>
  </dataValidations>
  <pageMargins left="0.7" right="0.7" top="0.75" bottom="0.75" header="0.3" footer="0.3"/>
  <pageSetup paperSize="9" scale="92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丹田　俊幸 株式会社　介護福祉サービス舟島</cp:lastModifiedBy>
  <cp:lastPrinted>2026-06-03T06:52:41Z</cp:lastPrinted>
  <dcterms:created xsi:type="dcterms:W3CDTF">2021-12-22T11:32:19Z</dcterms:created>
  <dcterms:modified xsi:type="dcterms:W3CDTF">2026-06-03T07:25:19Z</dcterms:modified>
</cp:coreProperties>
</file>